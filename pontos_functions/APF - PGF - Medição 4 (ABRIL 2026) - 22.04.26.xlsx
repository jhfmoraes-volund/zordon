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jessi\Desktop\prodesp\"/>
    </mc:Choice>
  </mc:AlternateContent>
  <xr:revisionPtr revIDLastSave="0" documentId="8_{C73C667C-B85C-4EC3-AEA1-25F2A5D75577}" xr6:coauthVersionLast="47" xr6:coauthVersionMax="47" xr10:uidLastSave="{00000000-0000-0000-0000-000000000000}"/>
  <bookViews>
    <workbookView xWindow="-108" yWindow="-108" windowWidth="23256" windowHeight="12456" tabRatio="734" activeTab="1" xr2:uid="{DED3B4CB-B456-4E59-BCE2-CF1BA450DB67}"/>
  </bookViews>
  <sheets>
    <sheet name="Capa" sheetId="6" r:id="rId1"/>
    <sheet name="Funções" sheetId="2" r:id="rId2"/>
    <sheet name="Deflatores Sisp" sheetId="3" r:id="rId3"/>
  </sheets>
  <definedNames>
    <definedName name="TiposDeFuncao" localSheetId="1">'Deflatores Sisp'!$M$37:$M$70</definedName>
    <definedName name="TiposDeManutencao" localSheetId="1">'Deflatores Sisp'!$G$4:$G$38</definedName>
    <definedName name="_xlnm.Print_Titles" localSheetId="1">Funções!$1:$7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8" i="2" l="1"/>
  <c r="M198" i="2"/>
  <c r="Z198" i="2"/>
  <c r="AA198" i="2"/>
  <c r="AB198" i="2"/>
  <c r="AC198" i="2"/>
  <c r="AD198" i="2"/>
  <c r="AE198" i="2"/>
  <c r="L199" i="2"/>
  <c r="M199" i="2"/>
  <c r="Z199" i="2"/>
  <c r="AA199" i="2"/>
  <c r="AB199" i="2"/>
  <c r="AC199" i="2"/>
  <c r="AD199" i="2"/>
  <c r="AE199" i="2"/>
  <c r="L200" i="2"/>
  <c r="K200" i="2" s="1"/>
  <c r="N200" i="2" s="1"/>
  <c r="M200" i="2"/>
  <c r="Z200" i="2"/>
  <c r="AA200" i="2"/>
  <c r="AB200" i="2"/>
  <c r="AC200" i="2"/>
  <c r="AD200" i="2"/>
  <c r="AE200" i="2"/>
  <c r="L201" i="2"/>
  <c r="M201" i="2"/>
  <c r="Z201" i="2"/>
  <c r="AA201" i="2"/>
  <c r="AB201" i="2"/>
  <c r="AC201" i="2"/>
  <c r="AD201" i="2"/>
  <c r="AE201" i="2"/>
  <c r="L202" i="2"/>
  <c r="M202" i="2"/>
  <c r="Z202" i="2"/>
  <c r="AA202" i="2"/>
  <c r="AB202" i="2"/>
  <c r="AC202" i="2"/>
  <c r="AD202" i="2"/>
  <c r="AE202" i="2"/>
  <c r="L183" i="2"/>
  <c r="M183" i="2"/>
  <c r="Z183" i="2"/>
  <c r="AA183" i="2"/>
  <c r="AB183" i="2"/>
  <c r="AC183" i="2"/>
  <c r="AD183" i="2"/>
  <c r="AE183" i="2"/>
  <c r="L184" i="2"/>
  <c r="M184" i="2"/>
  <c r="Z184" i="2"/>
  <c r="AA184" i="2"/>
  <c r="AB184" i="2"/>
  <c r="AC184" i="2"/>
  <c r="AD184" i="2"/>
  <c r="AE184" i="2"/>
  <c r="L185" i="2"/>
  <c r="K185" i="2" s="1"/>
  <c r="M185" i="2"/>
  <c r="Z185" i="2"/>
  <c r="AA185" i="2"/>
  <c r="AB185" i="2"/>
  <c r="AC185" i="2"/>
  <c r="AD185" i="2"/>
  <c r="AE185" i="2"/>
  <c r="L186" i="2"/>
  <c r="M186" i="2"/>
  <c r="Z186" i="2"/>
  <c r="AA186" i="2"/>
  <c r="AB186" i="2"/>
  <c r="AC186" i="2"/>
  <c r="AD186" i="2"/>
  <c r="AE186" i="2"/>
  <c r="L187" i="2"/>
  <c r="M187" i="2"/>
  <c r="Z187" i="2"/>
  <c r="AA187" i="2"/>
  <c r="AB187" i="2"/>
  <c r="AC187" i="2"/>
  <c r="AD187" i="2"/>
  <c r="AE187" i="2"/>
  <c r="L188" i="2"/>
  <c r="M188" i="2"/>
  <c r="Z188" i="2"/>
  <c r="AA188" i="2"/>
  <c r="AB188" i="2"/>
  <c r="AC188" i="2"/>
  <c r="AD188" i="2"/>
  <c r="AE188" i="2"/>
  <c r="L189" i="2"/>
  <c r="M189" i="2"/>
  <c r="Z189" i="2"/>
  <c r="AA189" i="2"/>
  <c r="AB189" i="2"/>
  <c r="AC189" i="2"/>
  <c r="AD189" i="2"/>
  <c r="AE189" i="2"/>
  <c r="L190" i="2"/>
  <c r="M190" i="2"/>
  <c r="Z190" i="2"/>
  <c r="AA190" i="2"/>
  <c r="AB190" i="2"/>
  <c r="AC190" i="2"/>
  <c r="AD190" i="2"/>
  <c r="AE190" i="2"/>
  <c r="L191" i="2"/>
  <c r="I191" i="2" s="1"/>
  <c r="M191" i="2"/>
  <c r="Z191" i="2"/>
  <c r="AA191" i="2"/>
  <c r="AB191" i="2"/>
  <c r="AC191" i="2"/>
  <c r="AD191" i="2"/>
  <c r="AE191" i="2"/>
  <c r="L192" i="2"/>
  <c r="M192" i="2"/>
  <c r="Z192" i="2"/>
  <c r="AA192" i="2"/>
  <c r="AB192" i="2"/>
  <c r="AC192" i="2"/>
  <c r="AD192" i="2"/>
  <c r="AE192" i="2"/>
  <c r="L193" i="2"/>
  <c r="M193" i="2"/>
  <c r="Z193" i="2"/>
  <c r="AA193" i="2"/>
  <c r="AB193" i="2"/>
  <c r="AC193" i="2"/>
  <c r="AD193" i="2"/>
  <c r="AE193" i="2"/>
  <c r="L194" i="2"/>
  <c r="M194" i="2"/>
  <c r="Z194" i="2"/>
  <c r="AA194" i="2"/>
  <c r="AB194" i="2"/>
  <c r="AC194" i="2"/>
  <c r="AD194" i="2"/>
  <c r="AE194" i="2"/>
  <c r="L195" i="2"/>
  <c r="M195" i="2"/>
  <c r="Z195" i="2"/>
  <c r="AA195" i="2"/>
  <c r="AB195" i="2"/>
  <c r="AC195" i="2"/>
  <c r="AD195" i="2"/>
  <c r="AE195" i="2"/>
  <c r="L196" i="2"/>
  <c r="M196" i="2"/>
  <c r="Z196" i="2"/>
  <c r="AA196" i="2"/>
  <c r="AB196" i="2"/>
  <c r="AC196" i="2"/>
  <c r="AD196" i="2"/>
  <c r="AE196" i="2"/>
  <c r="L197" i="2"/>
  <c r="K197" i="2" s="1"/>
  <c r="M197" i="2"/>
  <c r="Z197" i="2"/>
  <c r="AA197" i="2"/>
  <c r="AB197" i="2"/>
  <c r="AC197" i="2"/>
  <c r="AD197" i="2"/>
  <c r="AE197" i="2"/>
  <c r="L136" i="2"/>
  <c r="I136" i="2" s="1"/>
  <c r="M136" i="2"/>
  <c r="Z136" i="2"/>
  <c r="AA136" i="2"/>
  <c r="AB136" i="2"/>
  <c r="AC136" i="2"/>
  <c r="AD136" i="2"/>
  <c r="AE136" i="2"/>
  <c r="L163" i="2"/>
  <c r="M163" i="2"/>
  <c r="Z163" i="2"/>
  <c r="AA163" i="2"/>
  <c r="AB163" i="2"/>
  <c r="AC163" i="2"/>
  <c r="AD163" i="2"/>
  <c r="AE163" i="2"/>
  <c r="L164" i="2"/>
  <c r="M164" i="2"/>
  <c r="Z164" i="2"/>
  <c r="AA164" i="2"/>
  <c r="AB164" i="2"/>
  <c r="AC164" i="2"/>
  <c r="AD164" i="2"/>
  <c r="AE164" i="2"/>
  <c r="L165" i="2"/>
  <c r="M165" i="2"/>
  <c r="Z165" i="2"/>
  <c r="AA165" i="2"/>
  <c r="AB165" i="2"/>
  <c r="AC165" i="2"/>
  <c r="AD165" i="2"/>
  <c r="AE165" i="2"/>
  <c r="L166" i="2"/>
  <c r="M166" i="2"/>
  <c r="Z166" i="2"/>
  <c r="AA166" i="2"/>
  <c r="AB166" i="2"/>
  <c r="AC166" i="2"/>
  <c r="AD166" i="2"/>
  <c r="AE166" i="2"/>
  <c r="L162" i="2"/>
  <c r="J162" i="2" s="1"/>
  <c r="M162" i="2"/>
  <c r="Z162" i="2"/>
  <c r="AA162" i="2"/>
  <c r="AB162" i="2"/>
  <c r="AC162" i="2"/>
  <c r="AD162" i="2"/>
  <c r="AE162" i="2"/>
  <c r="L167" i="2"/>
  <c r="M167" i="2"/>
  <c r="Z167" i="2"/>
  <c r="AA167" i="2"/>
  <c r="AB167" i="2"/>
  <c r="AC167" i="2"/>
  <c r="AD167" i="2"/>
  <c r="AE167" i="2"/>
  <c r="L168" i="2"/>
  <c r="M168" i="2"/>
  <c r="Z168" i="2"/>
  <c r="AA168" i="2"/>
  <c r="AB168" i="2"/>
  <c r="AC168" i="2"/>
  <c r="AD168" i="2"/>
  <c r="AE168" i="2"/>
  <c r="L169" i="2"/>
  <c r="M169" i="2"/>
  <c r="Z169" i="2"/>
  <c r="AA169" i="2"/>
  <c r="AB169" i="2"/>
  <c r="AC169" i="2"/>
  <c r="AD169" i="2"/>
  <c r="AE169" i="2"/>
  <c r="L170" i="2"/>
  <c r="M170" i="2"/>
  <c r="Z170" i="2"/>
  <c r="AA170" i="2"/>
  <c r="AB170" i="2"/>
  <c r="AC170" i="2"/>
  <c r="AD170" i="2"/>
  <c r="AE170" i="2"/>
  <c r="L171" i="2"/>
  <c r="K171" i="2" s="1"/>
  <c r="M171" i="2"/>
  <c r="Z171" i="2"/>
  <c r="AA171" i="2"/>
  <c r="AB171" i="2"/>
  <c r="AC171" i="2"/>
  <c r="AD171" i="2"/>
  <c r="AE171" i="2"/>
  <c r="L172" i="2"/>
  <c r="M172" i="2"/>
  <c r="Z172" i="2"/>
  <c r="AA172" i="2"/>
  <c r="AB172" i="2"/>
  <c r="AC172" i="2"/>
  <c r="AD172" i="2"/>
  <c r="AE172" i="2"/>
  <c r="L173" i="2"/>
  <c r="K173" i="2" s="1"/>
  <c r="M173" i="2"/>
  <c r="Z173" i="2"/>
  <c r="AA173" i="2"/>
  <c r="AB173" i="2"/>
  <c r="AC173" i="2"/>
  <c r="AD173" i="2"/>
  <c r="AE173" i="2"/>
  <c r="L174" i="2"/>
  <c r="M174" i="2"/>
  <c r="Z174" i="2"/>
  <c r="AA174" i="2"/>
  <c r="AB174" i="2"/>
  <c r="AC174" i="2"/>
  <c r="AD174" i="2"/>
  <c r="AE174" i="2"/>
  <c r="L175" i="2"/>
  <c r="M175" i="2"/>
  <c r="Z175" i="2"/>
  <c r="AA175" i="2"/>
  <c r="AB175" i="2"/>
  <c r="AC175" i="2"/>
  <c r="AD175" i="2"/>
  <c r="AE175" i="2"/>
  <c r="L176" i="2"/>
  <c r="M176" i="2"/>
  <c r="Z176" i="2"/>
  <c r="AA176" i="2"/>
  <c r="AB176" i="2"/>
  <c r="AC176" i="2"/>
  <c r="AD176" i="2"/>
  <c r="AE176" i="2"/>
  <c r="L177" i="2"/>
  <c r="K177" i="2" s="1"/>
  <c r="M177" i="2"/>
  <c r="Z177" i="2"/>
  <c r="AA177" i="2"/>
  <c r="AB177" i="2"/>
  <c r="AC177" i="2"/>
  <c r="AD177" i="2"/>
  <c r="AE177" i="2"/>
  <c r="L178" i="2"/>
  <c r="K178" i="2" s="1"/>
  <c r="M178" i="2"/>
  <c r="Z178" i="2"/>
  <c r="AA178" i="2"/>
  <c r="AB178" i="2"/>
  <c r="AC178" i="2"/>
  <c r="AD178" i="2"/>
  <c r="AE178" i="2"/>
  <c r="L179" i="2"/>
  <c r="K179" i="2" s="1"/>
  <c r="M179" i="2"/>
  <c r="Z179" i="2"/>
  <c r="AA179" i="2"/>
  <c r="AB179" i="2"/>
  <c r="AC179" i="2"/>
  <c r="AD179" i="2"/>
  <c r="AE179" i="2"/>
  <c r="L180" i="2"/>
  <c r="M180" i="2"/>
  <c r="Z180" i="2"/>
  <c r="AA180" i="2"/>
  <c r="AB180" i="2"/>
  <c r="AC180" i="2"/>
  <c r="AD180" i="2"/>
  <c r="AE180" i="2"/>
  <c r="L181" i="2"/>
  <c r="M181" i="2"/>
  <c r="Z181" i="2"/>
  <c r="AA181" i="2"/>
  <c r="AB181" i="2"/>
  <c r="AC181" i="2"/>
  <c r="AD181" i="2"/>
  <c r="AE181" i="2"/>
  <c r="L182" i="2"/>
  <c r="M182" i="2"/>
  <c r="Z182" i="2"/>
  <c r="AA182" i="2"/>
  <c r="AB182" i="2"/>
  <c r="AC182" i="2"/>
  <c r="AD182" i="2"/>
  <c r="AE182" i="2"/>
  <c r="L137" i="2"/>
  <c r="I137" i="2" s="1"/>
  <c r="M137" i="2"/>
  <c r="Z137" i="2"/>
  <c r="AA137" i="2"/>
  <c r="AB137" i="2"/>
  <c r="AC137" i="2"/>
  <c r="AD137" i="2"/>
  <c r="AE137" i="2"/>
  <c r="L138" i="2"/>
  <c r="J138" i="2" s="1"/>
  <c r="M138" i="2"/>
  <c r="Z138" i="2"/>
  <c r="AA138" i="2"/>
  <c r="AB138" i="2"/>
  <c r="AC138" i="2"/>
  <c r="AD138" i="2"/>
  <c r="AE138" i="2"/>
  <c r="L139" i="2"/>
  <c r="J139" i="2" s="1"/>
  <c r="M139" i="2"/>
  <c r="Z139" i="2"/>
  <c r="AA139" i="2"/>
  <c r="AB139" i="2"/>
  <c r="AC139" i="2"/>
  <c r="AD139" i="2"/>
  <c r="AE139" i="2"/>
  <c r="L140" i="2"/>
  <c r="J140" i="2" s="1"/>
  <c r="M140" i="2"/>
  <c r="Z140" i="2"/>
  <c r="AA140" i="2"/>
  <c r="AB140" i="2"/>
  <c r="AC140" i="2"/>
  <c r="AD140" i="2"/>
  <c r="AE140" i="2"/>
  <c r="L141" i="2"/>
  <c r="J141" i="2" s="1"/>
  <c r="M141" i="2"/>
  <c r="Z141" i="2"/>
  <c r="AA141" i="2"/>
  <c r="AB141" i="2"/>
  <c r="AC141" i="2"/>
  <c r="AD141" i="2"/>
  <c r="AE141" i="2"/>
  <c r="L142" i="2"/>
  <c r="J142" i="2" s="1"/>
  <c r="M142" i="2"/>
  <c r="Z142" i="2"/>
  <c r="AA142" i="2"/>
  <c r="AB142" i="2"/>
  <c r="AC142" i="2"/>
  <c r="AD142" i="2"/>
  <c r="AE142" i="2"/>
  <c r="L143" i="2"/>
  <c r="I143" i="2" s="1"/>
  <c r="M143" i="2"/>
  <c r="Z143" i="2"/>
  <c r="AA143" i="2"/>
  <c r="AB143" i="2"/>
  <c r="AC143" i="2"/>
  <c r="AD143" i="2"/>
  <c r="AE143" i="2"/>
  <c r="L144" i="2"/>
  <c r="J144" i="2" s="1"/>
  <c r="M144" i="2"/>
  <c r="Z144" i="2"/>
  <c r="AA144" i="2"/>
  <c r="AB144" i="2"/>
  <c r="AC144" i="2"/>
  <c r="AD144" i="2"/>
  <c r="AE144" i="2"/>
  <c r="L145" i="2"/>
  <c r="J145" i="2" s="1"/>
  <c r="M145" i="2"/>
  <c r="Z145" i="2"/>
  <c r="AA145" i="2"/>
  <c r="AB145" i="2"/>
  <c r="AC145" i="2"/>
  <c r="AD145" i="2"/>
  <c r="AE145" i="2"/>
  <c r="L146" i="2"/>
  <c r="J146" i="2" s="1"/>
  <c r="M146" i="2"/>
  <c r="Z146" i="2"/>
  <c r="AA146" i="2"/>
  <c r="AB146" i="2"/>
  <c r="AC146" i="2"/>
  <c r="AD146" i="2"/>
  <c r="AE146" i="2"/>
  <c r="L147" i="2"/>
  <c r="K147" i="2" s="1"/>
  <c r="M147" i="2"/>
  <c r="Z147" i="2"/>
  <c r="AA147" i="2"/>
  <c r="AB147" i="2"/>
  <c r="AC147" i="2"/>
  <c r="AD147" i="2"/>
  <c r="AE147" i="2"/>
  <c r="L148" i="2"/>
  <c r="J148" i="2" s="1"/>
  <c r="M148" i="2"/>
  <c r="Z148" i="2"/>
  <c r="AA148" i="2"/>
  <c r="AB148" i="2"/>
  <c r="AC148" i="2"/>
  <c r="AD148" i="2"/>
  <c r="AE148" i="2"/>
  <c r="L149" i="2"/>
  <c r="I149" i="2" s="1"/>
  <c r="M149" i="2"/>
  <c r="Z149" i="2"/>
  <c r="AA149" i="2"/>
  <c r="AB149" i="2"/>
  <c r="AC149" i="2"/>
  <c r="AD149" i="2"/>
  <c r="AE149" i="2"/>
  <c r="L150" i="2"/>
  <c r="J150" i="2" s="1"/>
  <c r="M150" i="2"/>
  <c r="Z150" i="2"/>
  <c r="AA150" i="2"/>
  <c r="AB150" i="2"/>
  <c r="AC150" i="2"/>
  <c r="AD150" i="2"/>
  <c r="AE150" i="2"/>
  <c r="L151" i="2"/>
  <c r="J151" i="2" s="1"/>
  <c r="M151" i="2"/>
  <c r="Z151" i="2"/>
  <c r="AA151" i="2"/>
  <c r="AB151" i="2"/>
  <c r="AC151" i="2"/>
  <c r="AD151" i="2"/>
  <c r="AE151" i="2"/>
  <c r="L152" i="2"/>
  <c r="J152" i="2" s="1"/>
  <c r="M152" i="2"/>
  <c r="Z152" i="2"/>
  <c r="AA152" i="2"/>
  <c r="AB152" i="2"/>
  <c r="AC152" i="2"/>
  <c r="AD152" i="2"/>
  <c r="AE152" i="2"/>
  <c r="L153" i="2"/>
  <c r="I153" i="2" s="1"/>
  <c r="M153" i="2"/>
  <c r="Z153" i="2"/>
  <c r="AA153" i="2"/>
  <c r="AB153" i="2"/>
  <c r="AC153" i="2"/>
  <c r="AD153" i="2"/>
  <c r="AE153" i="2"/>
  <c r="L154" i="2"/>
  <c r="J154" i="2" s="1"/>
  <c r="M154" i="2"/>
  <c r="Z154" i="2"/>
  <c r="AA154" i="2"/>
  <c r="AB154" i="2"/>
  <c r="AC154" i="2"/>
  <c r="AD154" i="2"/>
  <c r="AE154" i="2"/>
  <c r="L155" i="2"/>
  <c r="K155" i="2" s="1"/>
  <c r="M155" i="2"/>
  <c r="Z155" i="2"/>
  <c r="AA155" i="2"/>
  <c r="AB155" i="2"/>
  <c r="AC155" i="2"/>
  <c r="AD155" i="2"/>
  <c r="AE155" i="2"/>
  <c r="L156" i="2"/>
  <c r="J156" i="2" s="1"/>
  <c r="M156" i="2"/>
  <c r="Z156" i="2"/>
  <c r="AA156" i="2"/>
  <c r="AB156" i="2"/>
  <c r="AC156" i="2"/>
  <c r="AD156" i="2"/>
  <c r="AE156" i="2"/>
  <c r="L157" i="2"/>
  <c r="J157" i="2" s="1"/>
  <c r="M157" i="2"/>
  <c r="Z157" i="2"/>
  <c r="AA157" i="2"/>
  <c r="AB157" i="2"/>
  <c r="AC157" i="2"/>
  <c r="AD157" i="2"/>
  <c r="AE157" i="2"/>
  <c r="L158" i="2"/>
  <c r="J158" i="2" s="1"/>
  <c r="M158" i="2"/>
  <c r="Z158" i="2"/>
  <c r="AA158" i="2"/>
  <c r="AB158" i="2"/>
  <c r="AC158" i="2"/>
  <c r="AD158" i="2"/>
  <c r="AE158" i="2"/>
  <c r="L159" i="2"/>
  <c r="I159" i="2" s="1"/>
  <c r="M159" i="2"/>
  <c r="Z159" i="2"/>
  <c r="AA159" i="2"/>
  <c r="AB159" i="2"/>
  <c r="AC159" i="2"/>
  <c r="AD159" i="2"/>
  <c r="AE159" i="2"/>
  <c r="L160" i="2"/>
  <c r="J160" i="2" s="1"/>
  <c r="M160" i="2"/>
  <c r="Z160" i="2"/>
  <c r="AA160" i="2"/>
  <c r="AB160" i="2"/>
  <c r="AC160" i="2"/>
  <c r="AD160" i="2"/>
  <c r="AE160" i="2"/>
  <c r="L161" i="2"/>
  <c r="J161" i="2" s="1"/>
  <c r="M161" i="2"/>
  <c r="Z161" i="2"/>
  <c r="AA161" i="2"/>
  <c r="AB161" i="2"/>
  <c r="AC161" i="2"/>
  <c r="AD161" i="2"/>
  <c r="AE161" i="2"/>
  <c r="L135" i="2"/>
  <c r="J135" i="2" s="1"/>
  <c r="M135" i="2"/>
  <c r="Z135" i="2"/>
  <c r="AA135" i="2"/>
  <c r="AB135" i="2"/>
  <c r="AC135" i="2"/>
  <c r="AD135" i="2"/>
  <c r="AE135" i="2"/>
  <c r="L89" i="2"/>
  <c r="J89" i="2" s="1"/>
  <c r="M89" i="2"/>
  <c r="Z89" i="2"/>
  <c r="AA89" i="2"/>
  <c r="AB89" i="2"/>
  <c r="AC89" i="2"/>
  <c r="AD89" i="2"/>
  <c r="AE89" i="2"/>
  <c r="M74" i="2"/>
  <c r="M73" i="2"/>
  <c r="L127" i="2"/>
  <c r="I127" i="2" s="1"/>
  <c r="M127" i="2"/>
  <c r="Z127" i="2"/>
  <c r="AA127" i="2"/>
  <c r="AB127" i="2"/>
  <c r="AC127" i="2"/>
  <c r="AD127" i="2"/>
  <c r="AE127" i="2"/>
  <c r="L128" i="2"/>
  <c r="K128" i="2" s="1"/>
  <c r="M128" i="2"/>
  <c r="Z128" i="2"/>
  <c r="AA128" i="2"/>
  <c r="AB128" i="2"/>
  <c r="AC128" i="2"/>
  <c r="AD128" i="2"/>
  <c r="AE128" i="2"/>
  <c r="L129" i="2"/>
  <c r="K129" i="2" s="1"/>
  <c r="M129" i="2"/>
  <c r="Z129" i="2"/>
  <c r="AA129" i="2"/>
  <c r="AB129" i="2"/>
  <c r="AC129" i="2"/>
  <c r="AD129" i="2"/>
  <c r="AE129" i="2"/>
  <c r="L130" i="2"/>
  <c r="I130" i="2" s="1"/>
  <c r="M130" i="2"/>
  <c r="Z130" i="2"/>
  <c r="AA130" i="2"/>
  <c r="AB130" i="2"/>
  <c r="AC130" i="2"/>
  <c r="AD130" i="2"/>
  <c r="AE130" i="2"/>
  <c r="L131" i="2"/>
  <c r="I131" i="2" s="1"/>
  <c r="M131" i="2"/>
  <c r="Z131" i="2"/>
  <c r="AA131" i="2"/>
  <c r="AB131" i="2"/>
  <c r="AC131" i="2"/>
  <c r="AD131" i="2"/>
  <c r="AE131" i="2"/>
  <c r="L132" i="2"/>
  <c r="I132" i="2" s="1"/>
  <c r="M132" i="2"/>
  <c r="Z132" i="2"/>
  <c r="AA132" i="2"/>
  <c r="AB132" i="2"/>
  <c r="AC132" i="2"/>
  <c r="AD132" i="2"/>
  <c r="AE132" i="2"/>
  <c r="L133" i="2"/>
  <c r="K133" i="2" s="1"/>
  <c r="M133" i="2"/>
  <c r="Z133" i="2"/>
  <c r="AA133" i="2"/>
  <c r="AB133" i="2"/>
  <c r="AC133" i="2"/>
  <c r="AD133" i="2"/>
  <c r="AE133" i="2"/>
  <c r="L134" i="2"/>
  <c r="K134" i="2" s="1"/>
  <c r="M134" i="2"/>
  <c r="Z134" i="2"/>
  <c r="AA134" i="2"/>
  <c r="AB134" i="2"/>
  <c r="AC134" i="2"/>
  <c r="AD134" i="2"/>
  <c r="AE134" i="2"/>
  <c r="W200" i="2" l="1"/>
  <c r="O200" i="2" s="1"/>
  <c r="W198" i="2"/>
  <c r="W199" i="2"/>
  <c r="W201" i="2"/>
  <c r="W202" i="2"/>
  <c r="W183" i="2"/>
  <c r="W184" i="2"/>
  <c r="W186" i="2"/>
  <c r="W187" i="2"/>
  <c r="W190" i="2"/>
  <c r="W191" i="2"/>
  <c r="W193" i="2"/>
  <c r="W194" i="2"/>
  <c r="W195" i="2"/>
  <c r="W197" i="2"/>
  <c r="O197" i="2" s="1"/>
  <c r="N197" i="2" s="1"/>
  <c r="I198" i="2"/>
  <c r="J198" i="2"/>
  <c r="K198" i="2"/>
  <c r="K199" i="2"/>
  <c r="J199" i="2"/>
  <c r="I199" i="2"/>
  <c r="J200" i="2"/>
  <c r="I200" i="2"/>
  <c r="I201" i="2"/>
  <c r="J201" i="2"/>
  <c r="K201" i="2"/>
  <c r="K202" i="2"/>
  <c r="J202" i="2"/>
  <c r="I202" i="2"/>
  <c r="W185" i="2"/>
  <c r="O185" i="2" s="1"/>
  <c r="N185" i="2" s="1"/>
  <c r="W188" i="2"/>
  <c r="W189" i="2"/>
  <c r="W196" i="2"/>
  <c r="W192" i="2"/>
  <c r="J183" i="2"/>
  <c r="I183" i="2"/>
  <c r="K183" i="2"/>
  <c r="J184" i="2"/>
  <c r="I184" i="2"/>
  <c r="K184" i="2"/>
  <c r="J185" i="2"/>
  <c r="I185" i="2"/>
  <c r="J186" i="2"/>
  <c r="I186" i="2"/>
  <c r="K186" i="2"/>
  <c r="J187" i="2"/>
  <c r="K187" i="2"/>
  <c r="I187" i="2"/>
  <c r="J188" i="2"/>
  <c r="K188" i="2"/>
  <c r="N188" i="2" s="1"/>
  <c r="I188" i="2"/>
  <c r="J189" i="2"/>
  <c r="I189" i="2"/>
  <c r="K189" i="2"/>
  <c r="J190" i="2"/>
  <c r="K190" i="2"/>
  <c r="I190" i="2"/>
  <c r="J191" i="2"/>
  <c r="K191" i="2"/>
  <c r="J192" i="2"/>
  <c r="I192" i="2"/>
  <c r="K192" i="2"/>
  <c r="J193" i="2"/>
  <c r="K193" i="2"/>
  <c r="I193" i="2"/>
  <c r="J194" i="2"/>
  <c r="I194" i="2"/>
  <c r="K194" i="2"/>
  <c r="J195" i="2"/>
  <c r="I195" i="2"/>
  <c r="K195" i="2"/>
  <c r="J196" i="2"/>
  <c r="I196" i="2"/>
  <c r="K196" i="2"/>
  <c r="J197" i="2"/>
  <c r="I197" i="2"/>
  <c r="J180" i="2"/>
  <c r="I180" i="2"/>
  <c r="K180" i="2"/>
  <c r="J181" i="2"/>
  <c r="K181" i="2"/>
  <c r="I181" i="2"/>
  <c r="J182" i="2"/>
  <c r="I182" i="2"/>
  <c r="K182" i="2"/>
  <c r="J174" i="2"/>
  <c r="I174" i="2"/>
  <c r="K174" i="2"/>
  <c r="J175" i="2"/>
  <c r="I175" i="2"/>
  <c r="K175" i="2"/>
  <c r="J176" i="2"/>
  <c r="I176" i="2"/>
  <c r="K176" i="2"/>
  <c r="J177" i="2"/>
  <c r="I177" i="2"/>
  <c r="J178" i="2"/>
  <c r="I178" i="2"/>
  <c r="J179" i="2"/>
  <c r="I179" i="2"/>
  <c r="I163" i="2"/>
  <c r="K163" i="2"/>
  <c r="I164" i="2"/>
  <c r="K164" i="2"/>
  <c r="I165" i="2"/>
  <c r="K165" i="2"/>
  <c r="I166" i="2"/>
  <c r="K166" i="2"/>
  <c r="J167" i="2"/>
  <c r="K167" i="2"/>
  <c r="I167" i="2"/>
  <c r="J168" i="2"/>
  <c r="I168" i="2"/>
  <c r="K168" i="2"/>
  <c r="J169" i="2"/>
  <c r="I169" i="2"/>
  <c r="K169" i="2"/>
  <c r="J170" i="2"/>
  <c r="I170" i="2"/>
  <c r="K170" i="2"/>
  <c r="J171" i="2"/>
  <c r="I171" i="2"/>
  <c r="J172" i="2"/>
  <c r="I172" i="2"/>
  <c r="K172" i="2"/>
  <c r="J173" i="2"/>
  <c r="I173" i="2"/>
  <c r="W136" i="2"/>
  <c r="K136" i="2"/>
  <c r="N136" i="2" s="1"/>
  <c r="J136" i="2"/>
  <c r="K152" i="2"/>
  <c r="N152" i="2" s="1"/>
  <c r="W164" i="2"/>
  <c r="W169" i="2"/>
  <c r="W138" i="2"/>
  <c r="W165" i="2"/>
  <c r="W166" i="2"/>
  <c r="W163" i="2"/>
  <c r="I147" i="2"/>
  <c r="J147" i="2"/>
  <c r="J165" i="2"/>
  <c r="J164" i="2"/>
  <c r="J163" i="2"/>
  <c r="J166" i="2"/>
  <c r="W144" i="2"/>
  <c r="W155" i="2"/>
  <c r="O155" i="2" s="1"/>
  <c r="N155" i="2" s="1"/>
  <c r="I144" i="2"/>
  <c r="W175" i="2"/>
  <c r="K135" i="2"/>
  <c r="W156" i="2"/>
  <c r="K149" i="2"/>
  <c r="I139" i="2"/>
  <c r="W181" i="2"/>
  <c r="W180" i="2"/>
  <c r="W150" i="2"/>
  <c r="K160" i="2"/>
  <c r="W171" i="2"/>
  <c r="O171" i="2" s="1"/>
  <c r="N171" i="2" s="1"/>
  <c r="W157" i="2"/>
  <c r="W172" i="2"/>
  <c r="W159" i="2"/>
  <c r="I158" i="2"/>
  <c r="K154" i="2"/>
  <c r="W152" i="2"/>
  <c r="K150" i="2"/>
  <c r="W147" i="2"/>
  <c r="O147" i="2" s="1"/>
  <c r="N147" i="2" s="1"/>
  <c r="I141" i="2"/>
  <c r="W178" i="2"/>
  <c r="O178" i="2" s="1"/>
  <c r="N178" i="2" s="1"/>
  <c r="K162" i="2"/>
  <c r="W160" i="2"/>
  <c r="I150" i="2"/>
  <c r="K146" i="2"/>
  <c r="W143" i="2"/>
  <c r="K142" i="2"/>
  <c r="W139" i="2"/>
  <c r="W179" i="2"/>
  <c r="O179" i="2" s="1"/>
  <c r="N179" i="2" s="1"/>
  <c r="W167" i="2"/>
  <c r="I162" i="2"/>
  <c r="W151" i="2"/>
  <c r="J155" i="2"/>
  <c r="I142" i="2"/>
  <c r="W173" i="2"/>
  <c r="O173" i="2" s="1"/>
  <c r="N173" i="2" s="1"/>
  <c r="W168" i="2"/>
  <c r="W135" i="2"/>
  <c r="K158" i="2"/>
  <c r="I135" i="2"/>
  <c r="W161" i="2"/>
  <c r="I155" i="2"/>
  <c r="W148" i="2"/>
  <c r="K141" i="2"/>
  <c r="W140" i="2"/>
  <c r="W174" i="2"/>
  <c r="W89" i="2"/>
  <c r="I160" i="2"/>
  <c r="W153" i="2"/>
  <c r="I152" i="2"/>
  <c r="W149" i="2"/>
  <c r="W145" i="2"/>
  <c r="W170" i="2"/>
  <c r="K144" i="2"/>
  <c r="W137" i="2"/>
  <c r="W176" i="2"/>
  <c r="W158" i="2"/>
  <c r="W154" i="2"/>
  <c r="W146" i="2"/>
  <c r="W141" i="2"/>
  <c r="W182" i="2"/>
  <c r="W177" i="2"/>
  <c r="O177" i="2" s="1"/>
  <c r="N177" i="2" s="1"/>
  <c r="W162" i="2"/>
  <c r="W142" i="2"/>
  <c r="K148" i="2"/>
  <c r="K140" i="2"/>
  <c r="K161" i="2"/>
  <c r="N161" i="2" s="1"/>
  <c r="I148" i="2"/>
  <c r="I140" i="2"/>
  <c r="I157" i="2"/>
  <c r="J149" i="2"/>
  <c r="K151" i="2"/>
  <c r="K143" i="2"/>
  <c r="K156" i="2"/>
  <c r="K159" i="2"/>
  <c r="J159" i="2"/>
  <c r="I151" i="2"/>
  <c r="J143" i="2"/>
  <c r="K157" i="2"/>
  <c r="K153" i="2"/>
  <c r="K145" i="2"/>
  <c r="K137" i="2"/>
  <c r="J153" i="2"/>
  <c r="I145" i="2"/>
  <c r="J137" i="2"/>
  <c r="I156" i="2"/>
  <c r="K138" i="2"/>
  <c r="I161" i="2"/>
  <c r="I154" i="2"/>
  <c r="I146" i="2"/>
  <c r="K139" i="2"/>
  <c r="I138" i="2"/>
  <c r="K89" i="2"/>
  <c r="I89" i="2"/>
  <c r="W129" i="2"/>
  <c r="O129" i="2" s="1"/>
  <c r="N129" i="2" s="1"/>
  <c r="W131" i="2"/>
  <c r="W132" i="2"/>
  <c r="W134" i="2"/>
  <c r="O134" i="2" s="1"/>
  <c r="N134" i="2" s="1"/>
  <c r="W130" i="2"/>
  <c r="W127" i="2"/>
  <c r="W133" i="2"/>
  <c r="O133" i="2" s="1"/>
  <c r="N133" i="2" s="1"/>
  <c r="W128" i="2"/>
  <c r="O128" i="2" s="1"/>
  <c r="N128" i="2" s="1"/>
  <c r="I129" i="2"/>
  <c r="I128" i="2"/>
  <c r="J129" i="2"/>
  <c r="J128" i="2"/>
  <c r="J134" i="2"/>
  <c r="I134" i="2"/>
  <c r="J133" i="2"/>
  <c r="I133" i="2"/>
  <c r="K131" i="2"/>
  <c r="J131" i="2"/>
  <c r="K130" i="2"/>
  <c r="J130" i="2"/>
  <c r="K132" i="2"/>
  <c r="K127" i="2"/>
  <c r="J132" i="2"/>
  <c r="J127" i="2"/>
  <c r="O136" i="2" l="1"/>
  <c r="O193" i="2"/>
  <c r="N193" i="2" s="1"/>
  <c r="O196" i="2"/>
  <c r="N196" i="2" s="1"/>
  <c r="O191" i="2"/>
  <c r="N191" i="2" s="1"/>
  <c r="O186" i="2"/>
  <c r="N186" i="2" s="1"/>
  <c r="O183" i="2"/>
  <c r="N183" i="2" s="1"/>
  <c r="O188" i="2"/>
  <c r="O192" i="2"/>
  <c r="N192" i="2" s="1"/>
  <c r="O184" i="2"/>
  <c r="N184" i="2"/>
  <c r="O187" i="2"/>
  <c r="N187" i="2"/>
  <c r="O189" i="2"/>
  <c r="N189" i="2"/>
  <c r="O190" i="2"/>
  <c r="N190" i="2"/>
  <c r="O194" i="2"/>
  <c r="N194" i="2"/>
  <c r="O195" i="2"/>
  <c r="N195" i="2"/>
  <c r="O198" i="2"/>
  <c r="N198" i="2"/>
  <c r="O199" i="2"/>
  <c r="N199" i="2"/>
  <c r="O201" i="2"/>
  <c r="N201" i="2"/>
  <c r="O202" i="2"/>
  <c r="N202" i="2"/>
  <c r="O181" i="2"/>
  <c r="N181" i="2" s="1"/>
  <c r="O182" i="2"/>
  <c r="N182" i="2" s="1"/>
  <c r="O180" i="2"/>
  <c r="N180" i="2" s="1"/>
  <c r="O156" i="2"/>
  <c r="N156" i="2" s="1"/>
  <c r="O164" i="2"/>
  <c r="N164" i="2" s="1"/>
  <c r="O169" i="2"/>
  <c r="N169" i="2" s="1"/>
  <c r="O165" i="2"/>
  <c r="N165" i="2" s="1"/>
  <c r="O166" i="2"/>
  <c r="N166" i="2" s="1"/>
  <c r="O163" i="2"/>
  <c r="N163" i="2" s="1"/>
  <c r="O175" i="2"/>
  <c r="N175" i="2" s="1"/>
  <c r="O168" i="2"/>
  <c r="N168" i="2" s="1"/>
  <c r="O167" i="2"/>
  <c r="N167" i="2" s="1"/>
  <c r="O172" i="2"/>
  <c r="N172" i="2" s="1"/>
  <c r="O152" i="2"/>
  <c r="O174" i="2"/>
  <c r="N174" i="2" s="1"/>
  <c r="O170" i="2"/>
  <c r="N170" i="2" s="1"/>
  <c r="O176" i="2"/>
  <c r="N176" i="2" s="1"/>
  <c r="O154" i="2"/>
  <c r="N154" i="2" s="1"/>
  <c r="O139" i="2"/>
  <c r="N139" i="2" s="1"/>
  <c r="O149" i="2"/>
  <c r="N149" i="2" s="1"/>
  <c r="O141" i="2"/>
  <c r="N141" i="2" s="1"/>
  <c r="O143" i="2"/>
  <c r="N143" i="2" s="1"/>
  <c r="O140" i="2"/>
  <c r="O157" i="2"/>
  <c r="N157" i="2" s="1"/>
  <c r="O162" i="2"/>
  <c r="N162" i="2" s="1"/>
  <c r="O137" i="2"/>
  <c r="N137" i="2" s="1"/>
  <c r="O161" i="2"/>
  <c r="O135" i="2"/>
  <c r="N135" i="2" s="1"/>
  <c r="O138" i="2"/>
  <c r="N138" i="2" s="1"/>
  <c r="O146" i="2"/>
  <c r="O145" i="2"/>
  <c r="N145" i="2" s="1"/>
  <c r="O89" i="2"/>
  <c r="N89" i="2" s="1"/>
  <c r="O144" i="2"/>
  <c r="N144" i="2" s="1"/>
  <c r="O150" i="2"/>
  <c r="N150" i="2" s="1"/>
  <c r="O160" i="2"/>
  <c r="N160" i="2" s="1"/>
  <c r="O142" i="2"/>
  <c r="N140" i="2"/>
  <c r="N146" i="2"/>
  <c r="N142" i="2"/>
  <c r="O159" i="2"/>
  <c r="N159" i="2" s="1"/>
  <c r="O151" i="2"/>
  <c r="N151" i="2" s="1"/>
  <c r="O148" i="2"/>
  <c r="N148" i="2" s="1"/>
  <c r="O153" i="2"/>
  <c r="N153" i="2" s="1"/>
  <c r="O158" i="2"/>
  <c r="N158" i="2" s="1"/>
  <c r="O127" i="2"/>
  <c r="N127" i="2" s="1"/>
  <c r="O132" i="2"/>
  <c r="N132" i="2" s="1"/>
  <c r="O130" i="2"/>
  <c r="N130" i="2" s="1"/>
  <c r="O131" i="2"/>
  <c r="N131" i="2" s="1"/>
  <c r="M58" i="3"/>
  <c r="J58" i="3"/>
  <c r="AE21" i="2"/>
  <c r="AD21" i="2"/>
  <c r="AC21" i="2"/>
  <c r="AB21" i="2"/>
  <c r="AA21" i="2"/>
  <c r="Z21" i="2"/>
  <c r="M21" i="2"/>
  <c r="L21" i="2"/>
  <c r="J21" i="2" s="1"/>
  <c r="K21" i="2" l="1"/>
  <c r="I21" i="2"/>
  <c r="W21" i="2"/>
  <c r="AE103" i="2"/>
  <c r="AD103" i="2"/>
  <c r="AC103" i="2"/>
  <c r="AB103" i="2"/>
  <c r="AA103" i="2"/>
  <c r="Z103" i="2"/>
  <c r="M103" i="2"/>
  <c r="L103" i="2"/>
  <c r="J103" i="2" s="1"/>
  <c r="AE102" i="2"/>
  <c r="AD102" i="2"/>
  <c r="AC102" i="2"/>
  <c r="AB102" i="2"/>
  <c r="AA102" i="2"/>
  <c r="Z102" i="2"/>
  <c r="M102" i="2"/>
  <c r="L102" i="2"/>
  <c r="J102" i="2" s="1"/>
  <c r="AE101" i="2"/>
  <c r="AD101" i="2"/>
  <c r="AC101" i="2"/>
  <c r="AB101" i="2"/>
  <c r="AA101" i="2"/>
  <c r="Z101" i="2"/>
  <c r="M101" i="2"/>
  <c r="L101" i="2"/>
  <c r="J101" i="2" s="1"/>
  <c r="AE100" i="2"/>
  <c r="AD100" i="2"/>
  <c r="AC100" i="2"/>
  <c r="AB100" i="2"/>
  <c r="AA100" i="2"/>
  <c r="Z100" i="2"/>
  <c r="M100" i="2"/>
  <c r="L100" i="2"/>
  <c r="J100" i="2" s="1"/>
  <c r="AE99" i="2"/>
  <c r="AD99" i="2"/>
  <c r="AC99" i="2"/>
  <c r="AB99" i="2"/>
  <c r="AA99" i="2"/>
  <c r="Z99" i="2"/>
  <c r="M99" i="2"/>
  <c r="L99" i="2"/>
  <c r="J99" i="2" s="1"/>
  <c r="AE98" i="2"/>
  <c r="AD98" i="2"/>
  <c r="AC98" i="2"/>
  <c r="AB98" i="2"/>
  <c r="AA98" i="2"/>
  <c r="Z98" i="2"/>
  <c r="M98" i="2"/>
  <c r="L98" i="2"/>
  <c r="J98" i="2" s="1"/>
  <c r="AE97" i="2"/>
  <c r="AD97" i="2"/>
  <c r="AC97" i="2"/>
  <c r="AB97" i="2"/>
  <c r="AA97" i="2"/>
  <c r="Z97" i="2"/>
  <c r="M97" i="2"/>
  <c r="L97" i="2"/>
  <c r="J97" i="2" s="1"/>
  <c r="AE96" i="2"/>
  <c r="AD96" i="2"/>
  <c r="AC96" i="2"/>
  <c r="AB96" i="2"/>
  <c r="AA96" i="2"/>
  <c r="Z96" i="2"/>
  <c r="M96" i="2"/>
  <c r="L96" i="2"/>
  <c r="J96" i="2" s="1"/>
  <c r="AE95" i="2"/>
  <c r="AD95" i="2"/>
  <c r="AC95" i="2"/>
  <c r="AB95" i="2"/>
  <c r="AA95" i="2"/>
  <c r="Z95" i="2"/>
  <c r="M95" i="2"/>
  <c r="L95" i="2"/>
  <c r="J95" i="2" s="1"/>
  <c r="AE94" i="2"/>
  <c r="AD94" i="2"/>
  <c r="AC94" i="2"/>
  <c r="AB94" i="2"/>
  <c r="AA94" i="2"/>
  <c r="Z94" i="2"/>
  <c r="M94" i="2"/>
  <c r="L94" i="2"/>
  <c r="J94" i="2" s="1"/>
  <c r="AE93" i="2"/>
  <c r="AD93" i="2"/>
  <c r="AC93" i="2"/>
  <c r="AB93" i="2"/>
  <c r="AA93" i="2"/>
  <c r="Z93" i="2"/>
  <c r="M93" i="2"/>
  <c r="L93" i="2"/>
  <c r="J93" i="2" s="1"/>
  <c r="AE92" i="2"/>
  <c r="AD92" i="2"/>
  <c r="AC92" i="2"/>
  <c r="AB92" i="2"/>
  <c r="AA92" i="2"/>
  <c r="Z92" i="2"/>
  <c r="M92" i="2"/>
  <c r="L92" i="2"/>
  <c r="J92" i="2" s="1"/>
  <c r="AE91" i="2"/>
  <c r="AD91" i="2"/>
  <c r="AC91" i="2"/>
  <c r="AB91" i="2"/>
  <c r="AA91" i="2"/>
  <c r="Z91" i="2"/>
  <c r="M91" i="2"/>
  <c r="L91" i="2"/>
  <c r="J91" i="2" s="1"/>
  <c r="AE90" i="2"/>
  <c r="AD90" i="2"/>
  <c r="AC90" i="2"/>
  <c r="AB90" i="2"/>
  <c r="AA90" i="2"/>
  <c r="Z90" i="2"/>
  <c r="M90" i="2"/>
  <c r="L90" i="2"/>
  <c r="J90" i="2" s="1"/>
  <c r="AE88" i="2"/>
  <c r="AD88" i="2"/>
  <c r="AC88" i="2"/>
  <c r="AB88" i="2"/>
  <c r="AA88" i="2"/>
  <c r="Z88" i="2"/>
  <c r="M88" i="2"/>
  <c r="L88" i="2"/>
  <c r="J88" i="2" s="1"/>
  <c r="AE87" i="2"/>
  <c r="AD87" i="2"/>
  <c r="AC87" i="2"/>
  <c r="AB87" i="2"/>
  <c r="AA87" i="2"/>
  <c r="Z87" i="2"/>
  <c r="M87" i="2"/>
  <c r="L87" i="2"/>
  <c r="J87" i="2" s="1"/>
  <c r="AE86" i="2"/>
  <c r="AD86" i="2"/>
  <c r="AC86" i="2"/>
  <c r="AB86" i="2"/>
  <c r="AA86" i="2"/>
  <c r="Z86" i="2"/>
  <c r="M86" i="2"/>
  <c r="L86" i="2"/>
  <c r="J86" i="2" s="1"/>
  <c r="AE85" i="2"/>
  <c r="AD85" i="2"/>
  <c r="AC85" i="2"/>
  <c r="AB85" i="2"/>
  <c r="AA85" i="2"/>
  <c r="Z85" i="2"/>
  <c r="M85" i="2"/>
  <c r="L85" i="2"/>
  <c r="J85" i="2" s="1"/>
  <c r="AE84" i="2"/>
  <c r="AD84" i="2"/>
  <c r="AC84" i="2"/>
  <c r="AB84" i="2"/>
  <c r="AA84" i="2"/>
  <c r="Z84" i="2"/>
  <c r="M84" i="2"/>
  <c r="L84" i="2"/>
  <c r="J84" i="2" s="1"/>
  <c r="AE54" i="2"/>
  <c r="AD54" i="2"/>
  <c r="AC54" i="2"/>
  <c r="AB54" i="2"/>
  <c r="AA54" i="2"/>
  <c r="Z54" i="2"/>
  <c r="M54" i="2"/>
  <c r="L54" i="2"/>
  <c r="J54" i="2" s="1"/>
  <c r="AE36" i="2"/>
  <c r="AD36" i="2"/>
  <c r="AC36" i="2"/>
  <c r="AB36" i="2"/>
  <c r="AA36" i="2"/>
  <c r="Z36" i="2"/>
  <c r="M36" i="2"/>
  <c r="L36" i="2"/>
  <c r="J36" i="2" s="1"/>
  <c r="AE35" i="2"/>
  <c r="AD35" i="2"/>
  <c r="AC35" i="2"/>
  <c r="AB35" i="2"/>
  <c r="AA35" i="2"/>
  <c r="Z35" i="2"/>
  <c r="M35" i="2"/>
  <c r="L35" i="2"/>
  <c r="K35" i="2" s="1"/>
  <c r="AD126" i="2"/>
  <c r="AD125" i="2"/>
  <c r="AD124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M50" i="2"/>
  <c r="M51" i="2"/>
  <c r="M52" i="2"/>
  <c r="M53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5" i="2"/>
  <c r="M76" i="2"/>
  <c r="M77" i="2"/>
  <c r="M78" i="2"/>
  <c r="M79" i="2"/>
  <c r="M80" i="2"/>
  <c r="M81" i="2"/>
  <c r="M82" i="2"/>
  <c r="M8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49" i="2"/>
  <c r="M47" i="2"/>
  <c r="M48" i="2"/>
  <c r="M46" i="2"/>
  <c r="M44" i="2"/>
  <c r="M45" i="2"/>
  <c r="M43" i="2"/>
  <c r="M41" i="2"/>
  <c r="M42" i="2"/>
  <c r="M15" i="2"/>
  <c r="M16" i="2"/>
  <c r="M17" i="2"/>
  <c r="M18" i="2"/>
  <c r="M19" i="2"/>
  <c r="M20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7" i="2"/>
  <c r="M38" i="2"/>
  <c r="M39" i="2"/>
  <c r="M40" i="2"/>
  <c r="L13" i="2"/>
  <c r="J13" i="2" s="1"/>
  <c r="L14" i="2"/>
  <c r="J14" i="2" s="1"/>
  <c r="L15" i="2"/>
  <c r="I15" i="2" s="1"/>
  <c r="L16" i="2"/>
  <c r="J16" i="2" s="1"/>
  <c r="L17" i="2"/>
  <c r="J17" i="2" s="1"/>
  <c r="L18" i="2"/>
  <c r="J18" i="2" s="1"/>
  <c r="L19" i="2"/>
  <c r="J19" i="2" s="1"/>
  <c r="L20" i="2"/>
  <c r="J20" i="2" s="1"/>
  <c r="L22" i="2"/>
  <c r="J22" i="2" s="1"/>
  <c r="L23" i="2"/>
  <c r="J23" i="2" s="1"/>
  <c r="L24" i="2"/>
  <c r="J24" i="2" s="1"/>
  <c r="L25" i="2"/>
  <c r="J25" i="2" s="1"/>
  <c r="L26" i="2"/>
  <c r="J26" i="2" s="1"/>
  <c r="L27" i="2"/>
  <c r="J27" i="2" s="1"/>
  <c r="L28" i="2"/>
  <c r="J28" i="2" s="1"/>
  <c r="L29" i="2"/>
  <c r="J29" i="2" s="1"/>
  <c r="L30" i="2"/>
  <c r="J30" i="2" s="1"/>
  <c r="L31" i="2"/>
  <c r="J31" i="2" s="1"/>
  <c r="L32" i="2"/>
  <c r="J32" i="2" s="1"/>
  <c r="L33" i="2"/>
  <c r="J33" i="2" s="1"/>
  <c r="L34" i="2"/>
  <c r="J34" i="2" s="1"/>
  <c r="L37" i="2"/>
  <c r="J37" i="2" s="1"/>
  <c r="L38" i="2"/>
  <c r="J38" i="2" s="1"/>
  <c r="L39" i="2"/>
  <c r="J39" i="2" s="1"/>
  <c r="L40" i="2"/>
  <c r="J40" i="2" s="1"/>
  <c r="L41" i="2"/>
  <c r="J41" i="2" s="1"/>
  <c r="L42" i="2"/>
  <c r="J42" i="2" s="1"/>
  <c r="L43" i="2"/>
  <c r="J43" i="2" s="1"/>
  <c r="L44" i="2"/>
  <c r="J44" i="2" s="1"/>
  <c r="L45" i="2"/>
  <c r="J45" i="2" s="1"/>
  <c r="L46" i="2"/>
  <c r="J46" i="2" s="1"/>
  <c r="L47" i="2"/>
  <c r="J47" i="2" s="1"/>
  <c r="L48" i="2"/>
  <c r="J48" i="2" s="1"/>
  <c r="L49" i="2"/>
  <c r="J49" i="2" s="1"/>
  <c r="L50" i="2"/>
  <c r="J50" i="2" s="1"/>
  <c r="L51" i="2"/>
  <c r="J51" i="2" s="1"/>
  <c r="L52" i="2"/>
  <c r="J52" i="2" s="1"/>
  <c r="L53" i="2"/>
  <c r="J53" i="2" s="1"/>
  <c r="L55" i="2"/>
  <c r="J55" i="2" s="1"/>
  <c r="L56" i="2"/>
  <c r="J56" i="2" s="1"/>
  <c r="L57" i="2"/>
  <c r="J57" i="2" s="1"/>
  <c r="L58" i="2"/>
  <c r="J58" i="2" s="1"/>
  <c r="L59" i="2"/>
  <c r="J59" i="2" s="1"/>
  <c r="L60" i="2"/>
  <c r="J60" i="2" s="1"/>
  <c r="L61" i="2"/>
  <c r="J61" i="2" s="1"/>
  <c r="L62" i="2"/>
  <c r="J62" i="2" s="1"/>
  <c r="L63" i="2"/>
  <c r="J63" i="2" s="1"/>
  <c r="L64" i="2"/>
  <c r="J64" i="2" s="1"/>
  <c r="L65" i="2"/>
  <c r="J65" i="2" s="1"/>
  <c r="L66" i="2"/>
  <c r="J66" i="2" s="1"/>
  <c r="L67" i="2"/>
  <c r="J67" i="2" s="1"/>
  <c r="L68" i="2"/>
  <c r="J68" i="2" s="1"/>
  <c r="L69" i="2"/>
  <c r="J69" i="2" s="1"/>
  <c r="L70" i="2"/>
  <c r="J70" i="2" s="1"/>
  <c r="L71" i="2"/>
  <c r="J71" i="2" s="1"/>
  <c r="L72" i="2"/>
  <c r="J72" i="2" s="1"/>
  <c r="L73" i="2"/>
  <c r="I73" i="2" s="1"/>
  <c r="L74" i="2"/>
  <c r="L75" i="2"/>
  <c r="J75" i="2" s="1"/>
  <c r="L76" i="2"/>
  <c r="J76" i="2" s="1"/>
  <c r="L77" i="2"/>
  <c r="J77" i="2" s="1"/>
  <c r="L78" i="2"/>
  <c r="J78" i="2" s="1"/>
  <c r="L79" i="2"/>
  <c r="J79" i="2" s="1"/>
  <c r="L80" i="2"/>
  <c r="J80" i="2" s="1"/>
  <c r="L81" i="2"/>
  <c r="J81" i="2" s="1"/>
  <c r="L82" i="2"/>
  <c r="J82" i="2" s="1"/>
  <c r="L83" i="2"/>
  <c r="J83" i="2" s="1"/>
  <c r="L104" i="2"/>
  <c r="J104" i="2" s="1"/>
  <c r="L105" i="2"/>
  <c r="J105" i="2" s="1"/>
  <c r="L106" i="2"/>
  <c r="J106" i="2" s="1"/>
  <c r="L107" i="2"/>
  <c r="J107" i="2" s="1"/>
  <c r="L108" i="2"/>
  <c r="J108" i="2" s="1"/>
  <c r="L109" i="2"/>
  <c r="J109" i="2" s="1"/>
  <c r="L110" i="2"/>
  <c r="J110" i="2" s="1"/>
  <c r="L111" i="2"/>
  <c r="J111" i="2" s="1"/>
  <c r="L112" i="2"/>
  <c r="J112" i="2" s="1"/>
  <c r="L113" i="2"/>
  <c r="J113" i="2" s="1"/>
  <c r="L114" i="2"/>
  <c r="J114" i="2" s="1"/>
  <c r="L115" i="2"/>
  <c r="J115" i="2" s="1"/>
  <c r="L116" i="2"/>
  <c r="J116" i="2" s="1"/>
  <c r="L117" i="2"/>
  <c r="J117" i="2" s="1"/>
  <c r="L118" i="2"/>
  <c r="J118" i="2" s="1"/>
  <c r="L119" i="2"/>
  <c r="J119" i="2" s="1"/>
  <c r="L120" i="2"/>
  <c r="J120" i="2" s="1"/>
  <c r="L121" i="2"/>
  <c r="J121" i="2" s="1"/>
  <c r="L122" i="2"/>
  <c r="J122" i="2" s="1"/>
  <c r="L123" i="2"/>
  <c r="J123" i="2" s="1"/>
  <c r="L124" i="2"/>
  <c r="J124" i="2" s="1"/>
  <c r="L125" i="2"/>
  <c r="J125" i="2" s="1"/>
  <c r="L126" i="2"/>
  <c r="J126" i="2" s="1"/>
  <c r="M8" i="2"/>
  <c r="M9" i="2"/>
  <c r="M10" i="2"/>
  <c r="M11" i="2"/>
  <c r="M12" i="2"/>
  <c r="M13" i="2"/>
  <c r="M14" i="2"/>
  <c r="L8" i="2"/>
  <c r="L9" i="2"/>
  <c r="J9" i="2" s="1"/>
  <c r="L10" i="2"/>
  <c r="I10" i="2" s="1"/>
  <c r="L11" i="2"/>
  <c r="K11" i="2" s="1"/>
  <c r="L12" i="2"/>
  <c r="AE12" i="2"/>
  <c r="AC12" i="2"/>
  <c r="AB12" i="2"/>
  <c r="AA12" i="2"/>
  <c r="Z12" i="2"/>
  <c r="AE10" i="2"/>
  <c r="AC10" i="2"/>
  <c r="AB10" i="2"/>
  <c r="AA10" i="2"/>
  <c r="Z10" i="2"/>
  <c r="AE125" i="2"/>
  <c r="AC125" i="2"/>
  <c r="AB125" i="2"/>
  <c r="AA125" i="2"/>
  <c r="Z125" i="2"/>
  <c r="AE123" i="2"/>
  <c r="AC123" i="2"/>
  <c r="AB123" i="2"/>
  <c r="AA123" i="2"/>
  <c r="Z123" i="2"/>
  <c r="AE121" i="2"/>
  <c r="AC121" i="2"/>
  <c r="AB121" i="2"/>
  <c r="AA121" i="2"/>
  <c r="Z121" i="2"/>
  <c r="AE120" i="2"/>
  <c r="AC120" i="2"/>
  <c r="AB120" i="2"/>
  <c r="AA120" i="2"/>
  <c r="Z120" i="2"/>
  <c r="AE118" i="2"/>
  <c r="AC118" i="2"/>
  <c r="AB118" i="2"/>
  <c r="AA118" i="2"/>
  <c r="Z118" i="2"/>
  <c r="AE116" i="2"/>
  <c r="AC116" i="2"/>
  <c r="AB116" i="2"/>
  <c r="AA116" i="2"/>
  <c r="Z116" i="2"/>
  <c r="AE115" i="2"/>
  <c r="AC115" i="2"/>
  <c r="AB115" i="2"/>
  <c r="AA115" i="2"/>
  <c r="Z115" i="2"/>
  <c r="AE113" i="2"/>
  <c r="AC113" i="2"/>
  <c r="AB113" i="2"/>
  <c r="AA113" i="2"/>
  <c r="Z113" i="2"/>
  <c r="AE112" i="2"/>
  <c r="AC112" i="2"/>
  <c r="AB112" i="2"/>
  <c r="AA112" i="2"/>
  <c r="Z112" i="2"/>
  <c r="AE111" i="2"/>
  <c r="AC111" i="2"/>
  <c r="AB111" i="2"/>
  <c r="AA111" i="2"/>
  <c r="Z111" i="2"/>
  <c r="AE110" i="2"/>
  <c r="AC110" i="2"/>
  <c r="AB110" i="2"/>
  <c r="AA110" i="2"/>
  <c r="Z110" i="2"/>
  <c r="AE108" i="2"/>
  <c r="AC108" i="2"/>
  <c r="AB108" i="2"/>
  <c r="AA108" i="2"/>
  <c r="Z108" i="2"/>
  <c r="AE107" i="2"/>
  <c r="AC107" i="2"/>
  <c r="AB107" i="2"/>
  <c r="AA107" i="2"/>
  <c r="Z107" i="2"/>
  <c r="AE83" i="2"/>
  <c r="AC83" i="2"/>
  <c r="AB83" i="2"/>
  <c r="AA83" i="2"/>
  <c r="Z83" i="2"/>
  <c r="AE82" i="2"/>
  <c r="AC82" i="2"/>
  <c r="AB82" i="2"/>
  <c r="AA82" i="2"/>
  <c r="Z82" i="2"/>
  <c r="AE80" i="2"/>
  <c r="AC80" i="2"/>
  <c r="AB80" i="2"/>
  <c r="AA80" i="2"/>
  <c r="Z80" i="2"/>
  <c r="AE79" i="2"/>
  <c r="AC79" i="2"/>
  <c r="AB79" i="2"/>
  <c r="AA79" i="2"/>
  <c r="Z79" i="2"/>
  <c r="AE77" i="2"/>
  <c r="AC77" i="2"/>
  <c r="AB77" i="2"/>
  <c r="AA77" i="2"/>
  <c r="Z77" i="2"/>
  <c r="AE76" i="2"/>
  <c r="AC76" i="2"/>
  <c r="AB76" i="2"/>
  <c r="AA76" i="2"/>
  <c r="Z76" i="2"/>
  <c r="AE74" i="2"/>
  <c r="AC74" i="2"/>
  <c r="AB74" i="2"/>
  <c r="AA74" i="2"/>
  <c r="Z74" i="2"/>
  <c r="AE73" i="2"/>
  <c r="AC73" i="2"/>
  <c r="AB73" i="2"/>
  <c r="AA73" i="2"/>
  <c r="Z73" i="2"/>
  <c r="AE71" i="2"/>
  <c r="AC71" i="2"/>
  <c r="AB71" i="2"/>
  <c r="AA71" i="2"/>
  <c r="Z71" i="2"/>
  <c r="AE70" i="2"/>
  <c r="AC70" i="2"/>
  <c r="AB70" i="2"/>
  <c r="AA70" i="2"/>
  <c r="Z70" i="2"/>
  <c r="AE68" i="2"/>
  <c r="AC68" i="2"/>
  <c r="AB68" i="2"/>
  <c r="AA68" i="2"/>
  <c r="Z68" i="2"/>
  <c r="AE67" i="2"/>
  <c r="AC67" i="2"/>
  <c r="AB67" i="2"/>
  <c r="AA67" i="2"/>
  <c r="Z67" i="2"/>
  <c r="AE65" i="2"/>
  <c r="AC65" i="2"/>
  <c r="AB65" i="2"/>
  <c r="AA65" i="2"/>
  <c r="Z65" i="2"/>
  <c r="AE64" i="2"/>
  <c r="AC64" i="2"/>
  <c r="AB64" i="2"/>
  <c r="AA64" i="2"/>
  <c r="Z64" i="2"/>
  <c r="AE62" i="2"/>
  <c r="AC62" i="2"/>
  <c r="AB62" i="2"/>
  <c r="AA62" i="2"/>
  <c r="Z62" i="2"/>
  <c r="AE61" i="2"/>
  <c r="AC61" i="2"/>
  <c r="AB61" i="2"/>
  <c r="AA61" i="2"/>
  <c r="Z61" i="2"/>
  <c r="AE58" i="2"/>
  <c r="AC58" i="2"/>
  <c r="AB58" i="2"/>
  <c r="AA58" i="2"/>
  <c r="Z58" i="2"/>
  <c r="AE57" i="2"/>
  <c r="AC57" i="2"/>
  <c r="AB57" i="2"/>
  <c r="AA57" i="2"/>
  <c r="Z57" i="2"/>
  <c r="AE55" i="2"/>
  <c r="AC55" i="2"/>
  <c r="AB55" i="2"/>
  <c r="AA55" i="2"/>
  <c r="Z55" i="2"/>
  <c r="AE53" i="2"/>
  <c r="AC53" i="2"/>
  <c r="AB53" i="2"/>
  <c r="AA53" i="2"/>
  <c r="Z53" i="2"/>
  <c r="AE51" i="2"/>
  <c r="AC51" i="2"/>
  <c r="AB51" i="2"/>
  <c r="AA51" i="2"/>
  <c r="Z51" i="2"/>
  <c r="AE50" i="2"/>
  <c r="AC50" i="2"/>
  <c r="AB50" i="2"/>
  <c r="AA50" i="2"/>
  <c r="Z50" i="2"/>
  <c r="AE48" i="2"/>
  <c r="AC48" i="2"/>
  <c r="AB48" i="2"/>
  <c r="AA48" i="2"/>
  <c r="Z48" i="2"/>
  <c r="AE47" i="2"/>
  <c r="AC47" i="2"/>
  <c r="AB47" i="2"/>
  <c r="AA47" i="2"/>
  <c r="Z47" i="2"/>
  <c r="AE45" i="2"/>
  <c r="AC45" i="2"/>
  <c r="AB45" i="2"/>
  <c r="AA45" i="2"/>
  <c r="Z45" i="2"/>
  <c r="AE44" i="2"/>
  <c r="AC44" i="2"/>
  <c r="AB44" i="2"/>
  <c r="AA44" i="2"/>
  <c r="Z44" i="2"/>
  <c r="AE42" i="2"/>
  <c r="AC42" i="2"/>
  <c r="AB42" i="2"/>
  <c r="AA42" i="2"/>
  <c r="Z42" i="2"/>
  <c r="AE41" i="2"/>
  <c r="AC41" i="2"/>
  <c r="AB41" i="2"/>
  <c r="AA41" i="2"/>
  <c r="Z41" i="2"/>
  <c r="AE39" i="2"/>
  <c r="AC39" i="2"/>
  <c r="AB39" i="2"/>
  <c r="AA39" i="2"/>
  <c r="Z39" i="2"/>
  <c r="AE38" i="2"/>
  <c r="AC38" i="2"/>
  <c r="AB38" i="2"/>
  <c r="AA38" i="2"/>
  <c r="Z38" i="2"/>
  <c r="AE34" i="2"/>
  <c r="AC34" i="2"/>
  <c r="AB34" i="2"/>
  <c r="AA34" i="2"/>
  <c r="Z34" i="2"/>
  <c r="AE33" i="2"/>
  <c r="AC33" i="2"/>
  <c r="AB33" i="2"/>
  <c r="AA33" i="2"/>
  <c r="Z33" i="2"/>
  <c r="AE31" i="2"/>
  <c r="AC31" i="2"/>
  <c r="AB31" i="2"/>
  <c r="AA31" i="2"/>
  <c r="Z31" i="2"/>
  <c r="AE30" i="2"/>
  <c r="AC30" i="2"/>
  <c r="AB30" i="2"/>
  <c r="AA30" i="2"/>
  <c r="Z30" i="2"/>
  <c r="AE27" i="2"/>
  <c r="AC27" i="2"/>
  <c r="AB27" i="2"/>
  <c r="AA27" i="2"/>
  <c r="Z27" i="2"/>
  <c r="AE26" i="2"/>
  <c r="AC26" i="2"/>
  <c r="AB26" i="2"/>
  <c r="AA26" i="2"/>
  <c r="Z26" i="2"/>
  <c r="AE24" i="2"/>
  <c r="AC24" i="2"/>
  <c r="AB24" i="2"/>
  <c r="AA24" i="2"/>
  <c r="Z24" i="2"/>
  <c r="AE23" i="2"/>
  <c r="AC23" i="2"/>
  <c r="AB23" i="2"/>
  <c r="AA23" i="2"/>
  <c r="Z23" i="2"/>
  <c r="AE20" i="2"/>
  <c r="AC20" i="2"/>
  <c r="AB20" i="2"/>
  <c r="AA20" i="2"/>
  <c r="Z20" i="2"/>
  <c r="AE18" i="2"/>
  <c r="AC18" i="2"/>
  <c r="AB18" i="2"/>
  <c r="AA18" i="2"/>
  <c r="Z18" i="2"/>
  <c r="AE17" i="2"/>
  <c r="AC17" i="2"/>
  <c r="AB17" i="2"/>
  <c r="AA17" i="2"/>
  <c r="Z17" i="2"/>
  <c r="AE16" i="2"/>
  <c r="AC16" i="2"/>
  <c r="AB16" i="2"/>
  <c r="AA16" i="2"/>
  <c r="Z16" i="2"/>
  <c r="AE15" i="2"/>
  <c r="AC15" i="2"/>
  <c r="AB15" i="2"/>
  <c r="AA15" i="2"/>
  <c r="Z15" i="2"/>
  <c r="AE13" i="2"/>
  <c r="AC13" i="2"/>
  <c r="AB13" i="2"/>
  <c r="AA13" i="2"/>
  <c r="Z13" i="2"/>
  <c r="AE11" i="2"/>
  <c r="AC11" i="2"/>
  <c r="AB11" i="2"/>
  <c r="AA11" i="2"/>
  <c r="Z11" i="2"/>
  <c r="O21" i="2" l="1"/>
  <c r="N21" i="2" s="1"/>
  <c r="J74" i="2"/>
  <c r="I74" i="2"/>
  <c r="J73" i="2"/>
  <c r="K73" i="2"/>
  <c r="K123" i="2"/>
  <c r="W97" i="2"/>
  <c r="K36" i="2"/>
  <c r="K18" i="2"/>
  <c r="I36" i="2"/>
  <c r="K95" i="2"/>
  <c r="I80" i="2"/>
  <c r="K80" i="2"/>
  <c r="I50" i="2"/>
  <c r="K50" i="2"/>
  <c r="K116" i="2"/>
  <c r="W38" i="2"/>
  <c r="K61" i="2"/>
  <c r="I27" i="2"/>
  <c r="K79" i="2"/>
  <c r="K27" i="2"/>
  <c r="I39" i="2"/>
  <c r="I123" i="2"/>
  <c r="K39" i="2"/>
  <c r="W95" i="2"/>
  <c r="I79" i="2"/>
  <c r="I58" i="2"/>
  <c r="K58" i="2"/>
  <c r="K113" i="2"/>
  <c r="I16" i="2"/>
  <c r="I113" i="2"/>
  <c r="K16" i="2"/>
  <c r="I48" i="2"/>
  <c r="K48" i="2"/>
  <c r="K51" i="2"/>
  <c r="I116" i="2"/>
  <c r="I30" i="2"/>
  <c r="K30" i="2"/>
  <c r="I71" i="2"/>
  <c r="I108" i="2"/>
  <c r="K62" i="2"/>
  <c r="K71" i="2"/>
  <c r="K108" i="2"/>
  <c r="I42" i="2"/>
  <c r="K42" i="2"/>
  <c r="I61" i="2"/>
  <c r="K76" i="2"/>
  <c r="I45" i="2"/>
  <c r="I76" i="2"/>
  <c r="I125" i="2"/>
  <c r="K125" i="2"/>
  <c r="I112" i="2"/>
  <c r="K120" i="2"/>
  <c r="K45" i="2"/>
  <c r="I13" i="2"/>
  <c r="K13" i="2"/>
  <c r="K112" i="2"/>
  <c r="I55" i="2"/>
  <c r="K55" i="2"/>
  <c r="K110" i="2"/>
  <c r="I51" i="2"/>
  <c r="K74" i="2"/>
  <c r="I67" i="2"/>
  <c r="K111" i="2"/>
  <c r="K97" i="2"/>
  <c r="I77" i="2"/>
  <c r="I111" i="2"/>
  <c r="I18" i="2"/>
  <c r="K44" i="2"/>
  <c r="I62" i="2"/>
  <c r="K77" i="2"/>
  <c r="I110" i="2"/>
  <c r="K24" i="2"/>
  <c r="K65" i="2"/>
  <c r="K67" i="2"/>
  <c r="I65" i="2"/>
  <c r="I121" i="2"/>
  <c r="I64" i="2"/>
  <c r="K121" i="2"/>
  <c r="I68" i="2"/>
  <c r="I24" i="2"/>
  <c r="I31" i="2"/>
  <c r="K64" i="2"/>
  <c r="K31" i="2"/>
  <c r="I44" i="2"/>
  <c r="K68" i="2"/>
  <c r="I120" i="2"/>
  <c r="W35" i="2"/>
  <c r="O35" i="2" s="1"/>
  <c r="N35" i="2" s="1"/>
  <c r="W34" i="2"/>
  <c r="W33" i="2"/>
  <c r="W12" i="2"/>
  <c r="W15" i="2"/>
  <c r="W11" i="2"/>
  <c r="O11" i="2" s="1"/>
  <c r="N11" i="2" s="1"/>
  <c r="W10" i="2"/>
  <c r="K83" i="2"/>
  <c r="K26" i="2"/>
  <c r="I34" i="2"/>
  <c r="I94" i="2"/>
  <c r="K20" i="2"/>
  <c r="I86" i="2"/>
  <c r="K86" i="2"/>
  <c r="I101" i="2"/>
  <c r="W13" i="2"/>
  <c r="W16" i="2"/>
  <c r="W18" i="2"/>
  <c r="W26" i="2"/>
  <c r="K34" i="2"/>
  <c r="W44" i="2"/>
  <c r="W47" i="2"/>
  <c r="W61" i="2"/>
  <c r="W67" i="2"/>
  <c r="W70" i="2"/>
  <c r="W73" i="2"/>
  <c r="W79" i="2"/>
  <c r="W82" i="2"/>
  <c r="W111" i="2"/>
  <c r="W121" i="2"/>
  <c r="W125" i="2"/>
  <c r="I90" i="2"/>
  <c r="K99" i="2"/>
  <c r="W101" i="2"/>
  <c r="W102" i="2"/>
  <c r="W96" i="2"/>
  <c r="K103" i="2"/>
  <c r="W17" i="2"/>
  <c r="W31" i="2"/>
  <c r="W39" i="2"/>
  <c r="W42" i="2"/>
  <c r="W51" i="2"/>
  <c r="W55" i="2"/>
  <c r="W58" i="2"/>
  <c r="W65" i="2"/>
  <c r="W77" i="2"/>
  <c r="W86" i="2"/>
  <c r="W90" i="2"/>
  <c r="W92" i="2"/>
  <c r="W20" i="2"/>
  <c r="W41" i="2"/>
  <c r="W50" i="2"/>
  <c r="W53" i="2"/>
  <c r="W108" i="2"/>
  <c r="W116" i="2"/>
  <c r="W123" i="2"/>
  <c r="W110" i="2"/>
  <c r="W120" i="2"/>
  <c r="W87" i="2"/>
  <c r="W91" i="2"/>
  <c r="W103" i="2"/>
  <c r="W24" i="2"/>
  <c r="W30" i="2"/>
  <c r="W57" i="2"/>
  <c r="W64" i="2"/>
  <c r="W76" i="2"/>
  <c r="W83" i="2"/>
  <c r="W113" i="2"/>
  <c r="W93" i="2"/>
  <c r="W98" i="2"/>
  <c r="W23" i="2"/>
  <c r="W27" i="2"/>
  <c r="W45" i="2"/>
  <c r="W48" i="2"/>
  <c r="W62" i="2"/>
  <c r="W68" i="2"/>
  <c r="W71" i="2"/>
  <c r="W74" i="2"/>
  <c r="W80" i="2"/>
  <c r="W107" i="2"/>
  <c r="W112" i="2"/>
  <c r="W115" i="2"/>
  <c r="W118" i="2"/>
  <c r="W36" i="2"/>
  <c r="W54" i="2"/>
  <c r="W84" i="2"/>
  <c r="W85" i="2"/>
  <c r="W88" i="2"/>
  <c r="K93" i="2"/>
  <c r="W94" i="2"/>
  <c r="I98" i="2"/>
  <c r="W99" i="2"/>
  <c r="W100" i="2"/>
  <c r="I84" i="2"/>
  <c r="K91" i="2"/>
  <c r="I99" i="2"/>
  <c r="K101" i="2"/>
  <c r="I83" i="2"/>
  <c r="K84" i="2"/>
  <c r="I88" i="2"/>
  <c r="I92" i="2"/>
  <c r="I96" i="2"/>
  <c r="I103" i="2"/>
  <c r="I26" i="2"/>
  <c r="I20" i="2"/>
  <c r="I17" i="2"/>
  <c r="K17" i="2"/>
  <c r="I85" i="2"/>
  <c r="I87" i="2"/>
  <c r="K88" i="2"/>
  <c r="K90" i="2"/>
  <c r="K92" i="2"/>
  <c r="K94" i="2"/>
  <c r="K96" i="2"/>
  <c r="K98" i="2"/>
  <c r="I100" i="2"/>
  <c r="I102" i="2"/>
  <c r="K85" i="2"/>
  <c r="K87" i="2"/>
  <c r="I91" i="2"/>
  <c r="I93" i="2"/>
  <c r="I95" i="2"/>
  <c r="I97" i="2"/>
  <c r="K100" i="2"/>
  <c r="K102" i="2"/>
  <c r="I33" i="2"/>
  <c r="I115" i="2"/>
  <c r="K33" i="2"/>
  <c r="K115" i="2"/>
  <c r="K82" i="2"/>
  <c r="K53" i="2"/>
  <c r="I118" i="2"/>
  <c r="K107" i="2"/>
  <c r="I107" i="2"/>
  <c r="K38" i="2"/>
  <c r="I53" i="2"/>
  <c r="I82" i="2"/>
  <c r="I38" i="2"/>
  <c r="I57" i="2"/>
  <c r="K118" i="2"/>
  <c r="I70" i="2"/>
  <c r="K70" i="2"/>
  <c r="K57" i="2"/>
  <c r="I54" i="2"/>
  <c r="K54" i="2"/>
  <c r="I41" i="2"/>
  <c r="K41" i="2"/>
  <c r="I35" i="2"/>
  <c r="J35" i="2"/>
  <c r="K47" i="2"/>
  <c r="I47" i="2"/>
  <c r="K15" i="2"/>
  <c r="I23" i="2"/>
  <c r="K23" i="2"/>
  <c r="K10" i="2"/>
  <c r="J12" i="2"/>
  <c r="K12" i="2"/>
  <c r="I11" i="2"/>
  <c r="J11" i="2"/>
  <c r="I12" i="2"/>
  <c r="J10" i="2"/>
  <c r="J15" i="2"/>
  <c r="O64" i="2" l="1"/>
  <c r="N64" i="2" s="1"/>
  <c r="O123" i="2"/>
  <c r="N123" i="2" s="1"/>
  <c r="O36" i="2"/>
  <c r="N36" i="2" s="1"/>
  <c r="O97" i="2"/>
  <c r="N97" i="2" s="1"/>
  <c r="O61" i="2"/>
  <c r="N61" i="2" s="1"/>
  <c r="O110" i="2"/>
  <c r="N110" i="2" s="1"/>
  <c r="O95" i="2"/>
  <c r="N95" i="2" s="1"/>
  <c r="O79" i="2"/>
  <c r="N79" i="2" s="1"/>
  <c r="O18" i="2"/>
  <c r="N18" i="2" s="1"/>
  <c r="O42" i="2"/>
  <c r="N42" i="2" s="1"/>
  <c r="O38" i="2"/>
  <c r="N38" i="2" s="1"/>
  <c r="O27" i="2"/>
  <c r="N27" i="2" s="1"/>
  <c r="O116" i="2"/>
  <c r="N116" i="2" s="1"/>
  <c r="O80" i="2"/>
  <c r="N80" i="2" s="1"/>
  <c r="O50" i="2"/>
  <c r="N50" i="2" s="1"/>
  <c r="O39" i="2"/>
  <c r="N39" i="2" s="1"/>
  <c r="O77" i="2"/>
  <c r="N77" i="2" s="1"/>
  <c r="O71" i="2"/>
  <c r="N71" i="2" s="1"/>
  <c r="O34" i="2"/>
  <c r="N34" i="2" s="1"/>
  <c r="O48" i="2"/>
  <c r="N48" i="2" s="1"/>
  <c r="O51" i="2"/>
  <c r="N51" i="2" s="1"/>
  <c r="O16" i="2"/>
  <c r="N16" i="2" s="1"/>
  <c r="O120" i="2"/>
  <c r="N120" i="2" s="1"/>
  <c r="O68" i="2"/>
  <c r="N68" i="2" s="1"/>
  <c r="O113" i="2"/>
  <c r="N113" i="2" s="1"/>
  <c r="O58" i="2"/>
  <c r="N58" i="2" s="1"/>
  <c r="O76" i="2"/>
  <c r="O31" i="2"/>
  <c r="N31" i="2" s="1"/>
  <c r="O65" i="2"/>
  <c r="N65" i="2" s="1"/>
  <c r="O101" i="2"/>
  <c r="N101" i="2" s="1"/>
  <c r="O62" i="2"/>
  <c r="N62" i="2" s="1"/>
  <c r="O74" i="2"/>
  <c r="N74" i="2" s="1"/>
  <c r="O108" i="2"/>
  <c r="N108" i="2" s="1"/>
  <c r="O44" i="2"/>
  <c r="N44" i="2" s="1"/>
  <c r="O112" i="2"/>
  <c r="N112" i="2" s="1"/>
  <c r="O67" i="2"/>
  <c r="N67" i="2" s="1"/>
  <c r="O45" i="2"/>
  <c r="N45" i="2" s="1"/>
  <c r="O30" i="2"/>
  <c r="N30" i="2" s="1"/>
  <c r="O24" i="2"/>
  <c r="N24" i="2" s="1"/>
  <c r="O111" i="2"/>
  <c r="N111" i="2" s="1"/>
  <c r="O55" i="2"/>
  <c r="N55" i="2" s="1"/>
  <c r="O125" i="2"/>
  <c r="N125" i="2" s="1"/>
  <c r="O33" i="2"/>
  <c r="N33" i="2" s="1"/>
  <c r="O13" i="2"/>
  <c r="N13" i="2" s="1"/>
  <c r="O121" i="2"/>
  <c r="N121" i="2" s="1"/>
  <c r="O83" i="2"/>
  <c r="N83" i="2" s="1"/>
  <c r="O91" i="2"/>
  <c r="N91" i="2" s="1"/>
  <c r="O86" i="2"/>
  <c r="N86" i="2" s="1"/>
  <c r="O10" i="2"/>
  <c r="N10" i="2" s="1"/>
  <c r="O26" i="2"/>
  <c r="N26" i="2" s="1"/>
  <c r="O20" i="2"/>
  <c r="N20" i="2" s="1"/>
  <c r="O92" i="2"/>
  <c r="N92" i="2" s="1"/>
  <c r="O87" i="2"/>
  <c r="N87" i="2" s="1"/>
  <c r="O84" i="2"/>
  <c r="N84" i="2" s="1"/>
  <c r="O103" i="2"/>
  <c r="N103" i="2" s="1"/>
  <c r="O99" i="2"/>
  <c r="N99" i="2" s="1"/>
  <c r="O17" i="2"/>
  <c r="N17" i="2" s="1"/>
  <c r="O88" i="2"/>
  <c r="N88" i="2" s="1"/>
  <c r="O98" i="2"/>
  <c r="N98" i="2" s="1"/>
  <c r="O93" i="2"/>
  <c r="N93" i="2" s="1"/>
  <c r="O85" i="2"/>
  <c r="N85" i="2" s="1"/>
  <c r="O100" i="2"/>
  <c r="N100" i="2" s="1"/>
  <c r="O96" i="2"/>
  <c r="N96" i="2" s="1"/>
  <c r="O94" i="2"/>
  <c r="N94" i="2" s="1"/>
  <c r="O90" i="2"/>
  <c r="N90" i="2" s="1"/>
  <c r="O102" i="2"/>
  <c r="N102" i="2" s="1"/>
  <c r="O115" i="2"/>
  <c r="N115" i="2" s="1"/>
  <c r="O82" i="2"/>
  <c r="N82" i="2" s="1"/>
  <c r="O54" i="2"/>
  <c r="N54" i="2" s="1"/>
  <c r="O70" i="2"/>
  <c r="N70" i="2" s="1"/>
  <c r="O23" i="2"/>
  <c r="N23" i="2" s="1"/>
  <c r="O118" i="2"/>
  <c r="N118" i="2" s="1"/>
  <c r="O107" i="2"/>
  <c r="N107" i="2" s="1"/>
  <c r="O73" i="2"/>
  <c r="O57" i="2"/>
  <c r="N57" i="2" s="1"/>
  <c r="O53" i="2"/>
  <c r="N53" i="2" s="1"/>
  <c r="O41" i="2"/>
  <c r="N41" i="2" s="1"/>
  <c r="O47" i="2"/>
  <c r="N47" i="2" s="1"/>
  <c r="O15" i="2"/>
  <c r="N15" i="2" s="1"/>
  <c r="O12" i="2"/>
  <c r="N12" i="2" s="1"/>
  <c r="N76" i="2" l="1"/>
  <c r="N73" i="2"/>
  <c r="AE126" i="2"/>
  <c r="AC126" i="2"/>
  <c r="AB126" i="2"/>
  <c r="AA126" i="2"/>
  <c r="Z126" i="2"/>
  <c r="K126" i="2"/>
  <c r="I126" i="2"/>
  <c r="AE124" i="2"/>
  <c r="AC124" i="2"/>
  <c r="AB124" i="2"/>
  <c r="AA124" i="2"/>
  <c r="Z124" i="2"/>
  <c r="K124" i="2"/>
  <c r="I124" i="2"/>
  <c r="AE122" i="2"/>
  <c r="AC122" i="2"/>
  <c r="AB122" i="2"/>
  <c r="AA122" i="2"/>
  <c r="Z122" i="2"/>
  <c r="K122" i="2"/>
  <c r="I122" i="2"/>
  <c r="AE119" i="2"/>
  <c r="AC119" i="2"/>
  <c r="AB119" i="2"/>
  <c r="AA119" i="2"/>
  <c r="Z119" i="2"/>
  <c r="K119" i="2"/>
  <c r="I119" i="2"/>
  <c r="AE117" i="2"/>
  <c r="AC117" i="2"/>
  <c r="AB117" i="2"/>
  <c r="AA117" i="2"/>
  <c r="Z117" i="2"/>
  <c r="K117" i="2"/>
  <c r="I117" i="2"/>
  <c r="AE114" i="2"/>
  <c r="AC114" i="2"/>
  <c r="AB114" i="2"/>
  <c r="AA114" i="2"/>
  <c r="Z114" i="2"/>
  <c r="K114" i="2"/>
  <c r="I114" i="2"/>
  <c r="AE109" i="2"/>
  <c r="AC109" i="2"/>
  <c r="AB109" i="2"/>
  <c r="AA109" i="2"/>
  <c r="Z109" i="2"/>
  <c r="K109" i="2"/>
  <c r="I109" i="2"/>
  <c r="AE106" i="2"/>
  <c r="AC106" i="2"/>
  <c r="AB106" i="2"/>
  <c r="AA106" i="2"/>
  <c r="Z106" i="2"/>
  <c r="K106" i="2"/>
  <c r="I106" i="2"/>
  <c r="AE105" i="2"/>
  <c r="AC105" i="2"/>
  <c r="AB105" i="2"/>
  <c r="AA105" i="2"/>
  <c r="Z105" i="2"/>
  <c r="K105" i="2"/>
  <c r="I105" i="2"/>
  <c r="AE63" i="2"/>
  <c r="AC63" i="2"/>
  <c r="AB63" i="2"/>
  <c r="AA63" i="2"/>
  <c r="Z63" i="2"/>
  <c r="K63" i="2"/>
  <c r="I63" i="2"/>
  <c r="AE60" i="2"/>
  <c r="AC60" i="2"/>
  <c r="AB60" i="2"/>
  <c r="AA60" i="2"/>
  <c r="Z60" i="2"/>
  <c r="K60" i="2"/>
  <c r="I60" i="2"/>
  <c r="AE59" i="2"/>
  <c r="AC59" i="2"/>
  <c r="AB59" i="2"/>
  <c r="AA59" i="2"/>
  <c r="Z59" i="2"/>
  <c r="K59" i="2"/>
  <c r="I59" i="2"/>
  <c r="AE28" i="2"/>
  <c r="AC28" i="2"/>
  <c r="AB28" i="2"/>
  <c r="AA28" i="2"/>
  <c r="Z28" i="2"/>
  <c r="K28" i="2"/>
  <c r="I28" i="2"/>
  <c r="AE29" i="2"/>
  <c r="AE32" i="2"/>
  <c r="AE37" i="2"/>
  <c r="AE40" i="2"/>
  <c r="AE43" i="2"/>
  <c r="AE46" i="2"/>
  <c r="AE49" i="2"/>
  <c r="AE52" i="2"/>
  <c r="AE56" i="2"/>
  <c r="AE66" i="2"/>
  <c r="AE69" i="2"/>
  <c r="AE72" i="2"/>
  <c r="AE75" i="2"/>
  <c r="AE78" i="2"/>
  <c r="AE81" i="2"/>
  <c r="AE104" i="2"/>
  <c r="AE9" i="2"/>
  <c r="AE14" i="2"/>
  <c r="AE19" i="2"/>
  <c r="AE22" i="2"/>
  <c r="AE25" i="2"/>
  <c r="AC29" i="2"/>
  <c r="AC32" i="2"/>
  <c r="AC37" i="2"/>
  <c r="AC40" i="2"/>
  <c r="AC43" i="2"/>
  <c r="AC46" i="2"/>
  <c r="AC49" i="2"/>
  <c r="AC52" i="2"/>
  <c r="AC56" i="2"/>
  <c r="AC66" i="2"/>
  <c r="AC69" i="2"/>
  <c r="AC72" i="2"/>
  <c r="AC75" i="2"/>
  <c r="AC78" i="2"/>
  <c r="AC81" i="2"/>
  <c r="AC104" i="2"/>
  <c r="AC9" i="2"/>
  <c r="AC14" i="2"/>
  <c r="AC19" i="2"/>
  <c r="AC22" i="2"/>
  <c r="AC25" i="2"/>
  <c r="AC8" i="2"/>
  <c r="AB29" i="2"/>
  <c r="AB32" i="2"/>
  <c r="AB37" i="2"/>
  <c r="AB40" i="2"/>
  <c r="AB43" i="2"/>
  <c r="AB46" i="2"/>
  <c r="AB49" i="2"/>
  <c r="AB52" i="2"/>
  <c r="AB56" i="2"/>
  <c r="AB66" i="2"/>
  <c r="AB69" i="2"/>
  <c r="AB72" i="2"/>
  <c r="AB75" i="2"/>
  <c r="AB78" i="2"/>
  <c r="AB81" i="2"/>
  <c r="AB104" i="2"/>
  <c r="AB9" i="2"/>
  <c r="AB14" i="2"/>
  <c r="AB19" i="2"/>
  <c r="AB22" i="2"/>
  <c r="AB25" i="2"/>
  <c r="AA29" i="2"/>
  <c r="AA32" i="2"/>
  <c r="AA37" i="2"/>
  <c r="AA40" i="2"/>
  <c r="AA43" i="2"/>
  <c r="AA46" i="2"/>
  <c r="AA49" i="2"/>
  <c r="AA52" i="2"/>
  <c r="AA56" i="2"/>
  <c r="AA66" i="2"/>
  <c r="AA69" i="2"/>
  <c r="AA72" i="2"/>
  <c r="AA75" i="2"/>
  <c r="AA78" i="2"/>
  <c r="AA81" i="2"/>
  <c r="AA104" i="2"/>
  <c r="AA9" i="2"/>
  <c r="AA14" i="2"/>
  <c r="AA19" i="2"/>
  <c r="AA22" i="2"/>
  <c r="AA25" i="2"/>
  <c r="AA8" i="2"/>
  <c r="Z29" i="2"/>
  <c r="Z32" i="2"/>
  <c r="Z37" i="2"/>
  <c r="Z40" i="2"/>
  <c r="Z43" i="2"/>
  <c r="Z46" i="2"/>
  <c r="Z49" i="2"/>
  <c r="Z52" i="2"/>
  <c r="Z56" i="2"/>
  <c r="Z66" i="2"/>
  <c r="Z69" i="2"/>
  <c r="Z72" i="2"/>
  <c r="Z75" i="2"/>
  <c r="Z78" i="2"/>
  <c r="Z81" i="2"/>
  <c r="Z104" i="2"/>
  <c r="Z9" i="2"/>
  <c r="Z14" i="2"/>
  <c r="Z19" i="2"/>
  <c r="Z22" i="2"/>
  <c r="Z25" i="2"/>
  <c r="Z8" i="2"/>
  <c r="K8" i="2"/>
  <c r="K9" i="2"/>
  <c r="K14" i="2"/>
  <c r="K19" i="2"/>
  <c r="K22" i="2"/>
  <c r="K25" i="2"/>
  <c r="I8" i="2"/>
  <c r="I9" i="2"/>
  <c r="I14" i="2"/>
  <c r="I19" i="2"/>
  <c r="I22" i="2"/>
  <c r="I25" i="2"/>
  <c r="AE8" i="2"/>
  <c r="AB8" i="2"/>
  <c r="W22" i="2" l="1"/>
  <c r="O22" i="2" s="1"/>
  <c r="N22" i="2" s="1"/>
  <c r="W9" i="2"/>
  <c r="O9" i="2" s="1"/>
  <c r="N9" i="2" s="1"/>
  <c r="W75" i="2"/>
  <c r="W56" i="2"/>
  <c r="W43" i="2"/>
  <c r="W29" i="2"/>
  <c r="W59" i="2"/>
  <c r="O59" i="2" s="1"/>
  <c r="N59" i="2" s="1"/>
  <c r="W106" i="2"/>
  <c r="O106" i="2" s="1"/>
  <c r="N106" i="2" s="1"/>
  <c r="W117" i="2"/>
  <c r="O117" i="2" s="1"/>
  <c r="N117" i="2" s="1"/>
  <c r="W126" i="2"/>
  <c r="O126" i="2" s="1"/>
  <c r="N126" i="2" s="1"/>
  <c r="W25" i="2"/>
  <c r="O25" i="2" s="1"/>
  <c r="N25" i="2" s="1"/>
  <c r="W14" i="2"/>
  <c r="O14" i="2" s="1"/>
  <c r="N14" i="2" s="1"/>
  <c r="W78" i="2"/>
  <c r="W66" i="2"/>
  <c r="W46" i="2"/>
  <c r="W32" i="2"/>
  <c r="W8" i="2"/>
  <c r="O8" i="2" s="1"/>
  <c r="W19" i="2"/>
  <c r="O19" i="2" s="1"/>
  <c r="N19" i="2" s="1"/>
  <c r="W104" i="2"/>
  <c r="W72" i="2"/>
  <c r="W52" i="2"/>
  <c r="W40" i="2"/>
  <c r="W28" i="2"/>
  <c r="O28" i="2" s="1"/>
  <c r="N28" i="2" s="1"/>
  <c r="W105" i="2"/>
  <c r="O105" i="2" s="1"/>
  <c r="N105" i="2" s="1"/>
  <c r="W114" i="2"/>
  <c r="O114" i="2" s="1"/>
  <c r="N114" i="2" s="1"/>
  <c r="W124" i="2"/>
  <c r="O124" i="2" s="1"/>
  <c r="N124" i="2" s="1"/>
  <c r="W81" i="2"/>
  <c r="W69" i="2"/>
  <c r="W49" i="2"/>
  <c r="W37" i="2"/>
  <c r="W63" i="2"/>
  <c r="O63" i="2" s="1"/>
  <c r="N63" i="2" s="1"/>
  <c r="W122" i="2"/>
  <c r="O122" i="2" s="1"/>
  <c r="N122" i="2" s="1"/>
  <c r="W60" i="2"/>
  <c r="O60" i="2" s="1"/>
  <c r="N60" i="2" s="1"/>
  <c r="W109" i="2"/>
  <c r="O109" i="2" s="1"/>
  <c r="N109" i="2" s="1"/>
  <c r="W119" i="2"/>
  <c r="O119" i="2" s="1"/>
  <c r="N119" i="2" s="1"/>
  <c r="J8" i="2" l="1"/>
  <c r="L36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2" i="3"/>
  <c r="L11" i="3"/>
  <c r="L10" i="3"/>
  <c r="L8" i="3"/>
  <c r="L7" i="3"/>
  <c r="M50" i="3"/>
  <c r="M43" i="3"/>
  <c r="J43" i="3"/>
  <c r="M48" i="3"/>
  <c r="J48" i="3"/>
  <c r="M49" i="3"/>
  <c r="J49" i="3"/>
  <c r="M47" i="3"/>
  <c r="J47" i="3"/>
  <c r="M46" i="3"/>
  <c r="J46" i="3"/>
  <c r="M45" i="3"/>
  <c r="J45" i="3"/>
  <c r="C4" i="2"/>
  <c r="C5" i="2"/>
  <c r="A6" i="2"/>
  <c r="A5" i="2"/>
  <c r="A4" i="2"/>
  <c r="J50" i="3"/>
  <c r="J44" i="3"/>
  <c r="J42" i="3"/>
  <c r="K22" i="3"/>
  <c r="J37" i="3"/>
  <c r="K37" i="3" s="1"/>
  <c r="J38" i="3"/>
  <c r="K38" i="3"/>
  <c r="M42" i="3"/>
  <c r="M44" i="3"/>
  <c r="J51" i="3"/>
  <c r="M51" i="3"/>
  <c r="J52" i="3"/>
  <c r="M52" i="3"/>
  <c r="J53" i="3"/>
  <c r="M53" i="3"/>
  <c r="J54" i="3"/>
  <c r="M54" i="3"/>
  <c r="J55" i="3"/>
  <c r="M55" i="3"/>
  <c r="J56" i="3"/>
  <c r="M56" i="3"/>
  <c r="J57" i="3"/>
  <c r="K57" i="3"/>
  <c r="M57" i="3"/>
  <c r="J59" i="3"/>
  <c r="K59" i="3"/>
  <c r="M59" i="3"/>
  <c r="J60" i="3"/>
  <c r="K60" i="3"/>
  <c r="M60" i="3"/>
  <c r="J61" i="3"/>
  <c r="K61" i="3"/>
  <c r="M61" i="3"/>
  <c r="J62" i="3"/>
  <c r="K62" i="3"/>
  <c r="M62" i="3"/>
  <c r="J63" i="3"/>
  <c r="K63" i="3"/>
  <c r="M63" i="3"/>
  <c r="J64" i="3"/>
  <c r="K64" i="3"/>
  <c r="M64" i="3"/>
  <c r="J65" i="3"/>
  <c r="K65" i="3"/>
  <c r="M65" i="3"/>
  <c r="J66" i="3"/>
  <c r="K66" i="3"/>
  <c r="M66" i="3"/>
  <c r="J67" i="3"/>
  <c r="K67" i="3"/>
  <c r="M67" i="3"/>
  <c r="J68" i="3"/>
  <c r="K68" i="3"/>
  <c r="M68" i="3"/>
  <c r="J69" i="3"/>
  <c r="K69" i="3"/>
  <c r="M69" i="3"/>
  <c r="J70" i="3"/>
  <c r="K70" i="3"/>
  <c r="M70" i="3"/>
  <c r="I29" i="2"/>
  <c r="K29" i="2"/>
  <c r="I32" i="2"/>
  <c r="K32" i="2"/>
  <c r="I46" i="2"/>
  <c r="K46" i="2"/>
  <c r="I49" i="2"/>
  <c r="K49" i="2"/>
  <c r="I52" i="2"/>
  <c r="K52" i="2"/>
  <c r="I56" i="2"/>
  <c r="K56" i="2"/>
  <c r="I72" i="2"/>
  <c r="K72" i="2"/>
  <c r="O72" i="2" s="1"/>
  <c r="I75" i="2"/>
  <c r="K75" i="2"/>
  <c r="I78" i="2"/>
  <c r="K78" i="2"/>
  <c r="I81" i="2"/>
  <c r="K104" i="2"/>
  <c r="I104" i="2"/>
  <c r="J7" i="3"/>
  <c r="K7" i="3" s="1"/>
  <c r="K81" i="2"/>
  <c r="I66" i="2"/>
  <c r="K69" i="2"/>
  <c r="K66" i="2"/>
  <c r="I69" i="2"/>
  <c r="J29" i="3"/>
  <c r="K29" i="3" s="1"/>
  <c r="J23" i="3"/>
  <c r="K23" i="3" s="1"/>
  <c r="J25" i="3"/>
  <c r="K25" i="3" s="1"/>
  <c r="J16" i="3"/>
  <c r="K16" i="3" s="1"/>
  <c r="J15" i="3"/>
  <c r="K15" i="3" s="1"/>
  <c r="J11" i="3"/>
  <c r="K11" i="3" s="1"/>
  <c r="J12" i="3"/>
  <c r="K12" i="3" s="1"/>
  <c r="J17" i="3"/>
  <c r="K17" i="3" s="1"/>
  <c r="J21" i="3"/>
  <c r="K21" i="3" s="1"/>
  <c r="J19" i="3"/>
  <c r="K19" i="3" s="1"/>
  <c r="J33" i="3"/>
  <c r="K33" i="3" s="1"/>
  <c r="J8" i="3"/>
  <c r="K8" i="3" s="1"/>
  <c r="J36" i="3"/>
  <c r="K36" i="3" s="1"/>
  <c r="J10" i="3"/>
  <c r="K10" i="3" s="1"/>
  <c r="J34" i="3"/>
  <c r="K34" i="3" s="1"/>
  <c r="J22" i="3"/>
  <c r="J18" i="3"/>
  <c r="K18" i="3" s="1"/>
  <c r="K52" i="3"/>
  <c r="J24" i="3"/>
  <c r="K24" i="3" s="1"/>
  <c r="K50" i="3"/>
  <c r="K54" i="3"/>
  <c r="K51" i="3"/>
  <c r="K53" i="3"/>
  <c r="K55" i="3"/>
  <c r="K46" i="3"/>
  <c r="K56" i="3"/>
  <c r="K47" i="3"/>
  <c r="K48" i="3"/>
  <c r="K45" i="3"/>
  <c r="K49" i="3"/>
  <c r="J14" i="3"/>
  <c r="K14" i="3" s="1"/>
  <c r="J28" i="3"/>
  <c r="K28" i="3" s="1"/>
  <c r="J32" i="3"/>
  <c r="K32" i="3" s="1"/>
  <c r="J27" i="3"/>
  <c r="K27" i="3" s="1"/>
  <c r="J31" i="3"/>
  <c r="K31" i="3" s="1"/>
  <c r="J20" i="3"/>
  <c r="K20" i="3" s="1"/>
  <c r="J9" i="3"/>
  <c r="K9" i="3" s="1"/>
  <c r="K44" i="3"/>
  <c r="J30" i="3"/>
  <c r="K30" i="3" s="1"/>
  <c r="J26" i="3"/>
  <c r="K26" i="3" s="1"/>
  <c r="K42" i="3"/>
  <c r="J6" i="3"/>
  <c r="K6" i="3" s="1"/>
  <c r="E22" i="6" s="1"/>
  <c r="L9" i="3"/>
  <c r="K40" i="2"/>
  <c r="I40" i="2"/>
  <c r="K43" i="2"/>
  <c r="K37" i="2"/>
  <c r="I43" i="2"/>
  <c r="I37" i="2"/>
  <c r="K43" i="3"/>
  <c r="J13" i="3"/>
  <c r="K13" i="3" s="1"/>
  <c r="J35" i="3"/>
  <c r="K35" i="3" s="1"/>
  <c r="L35" i="3"/>
  <c r="L13" i="3"/>
  <c r="O75" i="2" l="1"/>
  <c r="N75" i="2" s="1"/>
  <c r="O66" i="2"/>
  <c r="N66" i="2" s="1"/>
  <c r="O69" i="2"/>
  <c r="N69" i="2" s="1"/>
  <c r="K6" i="2"/>
  <c r="E19" i="6"/>
  <c r="E18" i="6"/>
  <c r="N72" i="2" l="1"/>
  <c r="L6" i="3"/>
  <c r="J5" i="3"/>
  <c r="K5" i="3" s="1"/>
  <c r="E21" i="6" s="1"/>
  <c r="N8" i="2"/>
  <c r="J4" i="3"/>
  <c r="K4" i="3" l="1"/>
  <c r="E20" i="6" s="1"/>
  <c r="E17" i="6"/>
  <c r="O52" i="2" l="1"/>
  <c r="N52" i="2" s="1"/>
  <c r="O49" i="2"/>
  <c r="N49" i="2" s="1"/>
  <c r="O32" i="2"/>
  <c r="N32" i="2" s="1"/>
  <c r="O37" i="2"/>
  <c r="N37" i="2" s="1"/>
  <c r="O43" i="2"/>
  <c r="N43" i="2" s="1"/>
  <c r="O81" i="2"/>
  <c r="N81" i="2" s="1"/>
  <c r="O46" i="2"/>
  <c r="N46" i="2" s="1"/>
  <c r="O104" i="2"/>
  <c r="N104" i="2" s="1"/>
  <c r="O29" i="2"/>
  <c r="O78" i="2"/>
  <c r="N78" i="2" s="1"/>
  <c r="O40" i="2"/>
  <c r="N40" i="2" s="1"/>
  <c r="N29" i="2" l="1"/>
  <c r="O56" i="2"/>
  <c r="O6" i="2" s="1"/>
  <c r="L5" i="3"/>
  <c r="N56" i="2" l="1"/>
  <c r="N6" i="2" s="1"/>
  <c r="K58" i="3"/>
  <c r="E24" i="6" s="1"/>
  <c r="E25" i="6" l="1"/>
  <c r="L4" i="3"/>
  <c r="N2" i="3" s="1"/>
  <c r="E2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B25" authorId="0" shapeId="0" xr:uid="{1680E05E-984D-44FF-B721-4F293B54F9C1}">
      <text>
        <r>
          <rPr>
            <b/>
            <sz val="9"/>
            <color rgb="FF000000"/>
            <rFont val="Segoe UI"/>
            <family val="2"/>
            <charset val="1"/>
          </rPr>
          <t xml:space="preserve">Total PFs Ajustado
</t>
        </r>
        <r>
          <rPr>
            <sz val="9"/>
            <color rgb="FF000000"/>
            <rFont val="Segoe UI"/>
            <family val="2"/>
            <charset val="1"/>
          </rPr>
          <t>Considerando o % das discilplinas entregues.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DELL</author>
    <author>Reinaldo José Vicente</author>
  </authors>
  <commentList>
    <comment ref="K5" authorId="0" shapeId="0" xr:uid="{4A800CD9-9848-4ECB-B978-5FA3C5C653FD}">
      <text>
        <r>
          <rPr>
            <b/>
            <sz val="8"/>
            <color rgb="FF000000"/>
            <rFont val="Tahoma"/>
            <family val="2"/>
          </rPr>
          <t xml:space="preserve">Ponto de Função IFPUG:
</t>
        </r>
        <r>
          <rPr>
            <sz val="8"/>
            <color rgb="FF000000"/>
            <rFont val="Tahoma"/>
            <family val="2"/>
          </rPr>
          <t xml:space="preserve">Medição baseada nas regras do IFPUG. Não considerada os deflatores nem os itens não mensuráveis. Caso a funcionalidade não tenha sido detalhada, será considerada a estimativa da NESMA.
</t>
        </r>
      </text>
    </comment>
    <comment ref="N5" authorId="0" shapeId="0" xr:uid="{7167C084-8C4C-44DD-BD05-45E855A15F61}">
      <text>
        <r>
          <rPr>
            <b/>
            <sz val="8"/>
            <color indexed="8"/>
            <rFont val="Tahoma"/>
            <family val="2"/>
          </rPr>
          <t xml:space="preserve">Ponto de Função Local do EM:
</t>
        </r>
        <r>
          <rPr>
            <sz val="8"/>
            <color indexed="8"/>
            <rFont val="Tahoma"/>
            <family val="2"/>
          </rPr>
          <t>Medição para remuneração do Escritório de Métricas. Equivalente à medição IFPUG. Porém, considera os itens não mensuráveis previstos em contrato.</t>
        </r>
      </text>
    </comment>
    <comment ref="O5" authorId="1" shapeId="0" xr:uid="{B6442277-B104-4D63-94A8-0D150350EAB7}">
      <text>
        <r>
          <rPr>
            <b/>
            <sz val="9"/>
            <color indexed="81"/>
            <rFont val="Segoe UI"/>
            <family val="2"/>
          </rPr>
          <t>Total Pontos Ajustado (Tamanho Funcional + Requisitos Não Funcionais)</t>
        </r>
        <r>
          <rPr>
            <sz val="9"/>
            <color indexed="81"/>
            <rFont val="Segoe UI"/>
            <family val="2"/>
          </rPr>
          <t xml:space="preserve">
Considera os deflatores e os itens não mensuráveis previstos em contrato. Além do percentual das fases de disciplanas entregues. 
</t>
        </r>
      </text>
    </comment>
    <comment ref="A7" authorId="0" shapeId="0" xr:uid="{094FB783-E3E1-4357-BDE3-24AF65A45682}">
      <text>
        <r>
          <rPr>
            <sz val="8"/>
            <color indexed="8"/>
            <rFont val="Tahoma"/>
            <family val="2"/>
          </rPr>
          <t xml:space="preserve">Identificação da Medição, Sprint ou Tarefa.
</t>
        </r>
      </text>
    </comment>
    <comment ref="B7" authorId="2" shapeId="0" xr:uid="{C5DBC44E-8035-4C3B-8920-4CB6579E22A0}">
      <text>
        <r>
          <rPr>
            <sz val="9"/>
            <color rgb="FF000000"/>
            <rFont val="Segoe UI"/>
            <family val="2"/>
            <charset val="1"/>
          </rPr>
          <t xml:space="preserve">Detalhes da medição, sprint ou tarefa ou nome da função.
</t>
        </r>
      </text>
    </comment>
    <comment ref="C7" authorId="0" shapeId="0" xr:uid="{98AA1FED-6D00-485B-AC50-F3D457E0BC22}">
      <text>
        <r>
          <rPr>
            <b/>
            <sz val="8"/>
            <color rgb="FF000000"/>
            <rFont val="Tahoma"/>
            <family val="2"/>
          </rPr>
          <t xml:space="preserve">Tipo de Função: 
</t>
        </r>
        <r>
          <rPr>
            <sz val="8"/>
            <color rgb="FF000000"/>
            <rFont val="Tahoma"/>
            <family val="2"/>
          </rPr>
          <t xml:space="preserve">ALI, AIE, EE, SE, CE
</t>
        </r>
        <r>
          <rPr>
            <sz val="8"/>
            <color rgb="FF000000"/>
            <rFont val="Tahoma"/>
            <family val="2"/>
          </rPr>
          <t xml:space="preserve">ou
</t>
        </r>
        <r>
          <rPr>
            <sz val="8"/>
            <color rgb="FF000000"/>
            <rFont val="Tahoma"/>
            <family val="2"/>
          </rPr>
          <t>Itens não mensuráveis</t>
        </r>
      </text>
    </comment>
    <comment ref="D7" authorId="0" shapeId="0" xr:uid="{33B0A975-94DB-4CA2-94AA-6A08091E1929}">
      <text>
        <r>
          <rPr>
            <b/>
            <sz val="8"/>
            <color indexed="8"/>
            <rFont val="Tahoma"/>
            <family val="2"/>
          </rPr>
          <t xml:space="preserve">Tipo de Manutenção na função:
</t>
        </r>
        <r>
          <rPr>
            <sz val="8"/>
            <color indexed="8"/>
            <rFont val="Tahoma"/>
            <family val="2"/>
          </rPr>
          <t xml:space="preserve">I, A, E 
ou
Itens não mensuráveis
</t>
        </r>
      </text>
    </comment>
    <comment ref="E7" authorId="0" shapeId="0" xr:uid="{4DFD283A-A78A-4511-BF86-BF0A8EEDF01F}">
      <text>
        <r>
          <rPr>
            <b/>
            <sz val="8"/>
            <color rgb="FF000000"/>
            <rFont val="Tahoma"/>
            <family val="2"/>
          </rPr>
          <t xml:space="preserve">Tipos de Dados (DETs)
</t>
        </r>
      </text>
    </comment>
    <comment ref="G7" authorId="0" shapeId="0" xr:uid="{F58A6C36-5029-45F5-BA26-7F5BD87E9E57}">
      <text>
        <r>
          <rPr>
            <b/>
            <sz val="8"/>
            <color indexed="8"/>
            <rFont val="Tahoma"/>
            <family val="2"/>
          </rPr>
          <t xml:space="preserve">Arquivos Referenciados / Tipos de Registro
</t>
        </r>
      </text>
    </comment>
    <comment ref="I7" authorId="0" shapeId="0" xr:uid="{AD63D237-6440-4F79-8300-E4D8E353D107}">
      <text>
        <r>
          <rPr>
            <b/>
            <sz val="8"/>
            <color indexed="8"/>
            <rFont val="Tahoma"/>
            <family val="2"/>
          </rPr>
          <t xml:space="preserve">Grau de complexidade específico atribuído a uma função.
</t>
        </r>
      </text>
    </comment>
    <comment ref="V7" authorId="1" shapeId="0" xr:uid="{F8FB157C-265D-4E5C-A546-B66CDF461D93}">
      <text>
        <r>
          <rPr>
            <b/>
            <sz val="9"/>
            <color indexed="81"/>
            <rFont val="Segoe UI"/>
            <family val="2"/>
          </rPr>
          <t>Pontos de Função por Disciplina:</t>
        </r>
        <r>
          <rPr>
            <sz val="9"/>
            <color indexed="81"/>
            <rFont val="Segoe UI"/>
            <family val="2"/>
          </rPr>
          <t xml:space="preserve">
 Considera o % específico da fase x disciplina no cálculo.</t>
        </r>
      </text>
    </comment>
    <comment ref="W7" authorId="1" shapeId="0" xr:uid="{1B6A72BA-9587-4868-97FF-4F7D88B82D8B}">
      <text>
        <r>
          <rPr>
            <b/>
            <sz val="9"/>
            <color indexed="81"/>
            <rFont val="Segoe UI"/>
            <family val="2"/>
          </rPr>
          <t>Pontos de Função por Disciplina:</t>
        </r>
        <r>
          <rPr>
            <sz val="9"/>
            <color indexed="81"/>
            <rFont val="Segoe UI"/>
            <family val="2"/>
          </rPr>
          <t xml:space="preserve">
 Considera o % específico da fase x disciplina no cálculo.</t>
        </r>
      </text>
    </comment>
    <comment ref="X7" authorId="0" shapeId="0" xr:uid="{B1C682FF-5195-4BB7-BCE9-A594C7D9CC4A}">
      <text>
        <r>
          <rPr>
            <b/>
            <sz val="8"/>
            <color indexed="8"/>
            <rFont val="Tahoma"/>
            <family val="2"/>
          </rPr>
          <t xml:space="preserve">Referência ao documento que justifica a contagem da funcionalidade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Guilherme</author>
  </authors>
  <commentList>
    <comment ref="J43" authorId="0" shapeId="0" xr:uid="{263779ED-9B01-4963-B066-8401D188B4BB}">
      <text>
        <r>
          <rPr>
            <b/>
            <sz val="9"/>
            <color indexed="81"/>
            <rFont val="Segoe UI"/>
            <family val="2"/>
          </rPr>
          <t>Guilherme:</t>
        </r>
        <r>
          <rPr>
            <sz val="9"/>
            <color indexed="81"/>
            <rFont val="Segoe UI"/>
            <family val="2"/>
          </rPr>
          <t xml:space="preserve">
Quantidade de itens Incluídos e Alterados</t>
        </r>
      </text>
    </comment>
    <comment ref="B51" authorId="0" shapeId="0" xr:uid="{9ED0FE8F-42C6-44B6-BE86-E476E71EAFFF}">
      <text>
        <r>
          <rPr>
            <b/>
            <sz val="9"/>
            <color indexed="81"/>
            <rFont val="Segoe UI"/>
            <family val="2"/>
          </rPr>
          <t>Guilherme:</t>
        </r>
        <r>
          <rPr>
            <sz val="9"/>
            <color indexed="81"/>
            <rFont val="Segoe UI"/>
            <family val="2"/>
          </rPr>
          <t xml:space="preserve">
Manutenção de Elastic Search (DATA LAKES)- Estrutura de dados adicional para o armazenamento de dados . Pesquisa e análise de grandes volumes de dados com rapidez. 
Abaixo a tabelas de Indice e ETL, conversão em PFs </t>
        </r>
      </text>
    </comment>
  </commentList>
</comments>
</file>

<file path=xl/sharedStrings.xml><?xml version="1.0" encoding="utf-8"?>
<sst xmlns="http://schemas.openxmlformats.org/spreadsheetml/2006/main" count="1775" uniqueCount="771">
  <si>
    <t>Planilha de Contagem de Pontos de Função - Versão 2025.01</t>
  </si>
  <si>
    <t xml:space="preserve"> Roteiro de Métricas de Software do SISP V.2.3</t>
  </si>
  <si>
    <t>Identificação da Contagem</t>
  </si>
  <si>
    <t>Projeto/Demanda</t>
  </si>
  <si>
    <t>Aplicação</t>
  </si>
  <si>
    <t>Responsável</t>
  </si>
  <si>
    <t>Prodesp</t>
  </si>
  <si>
    <t>Tipo de Contagem</t>
  </si>
  <si>
    <t>Forma de Contagem</t>
  </si>
  <si>
    <t>Detalhada</t>
  </si>
  <si>
    <t>Tamanho em Pontos de Função</t>
  </si>
  <si>
    <t>Pontos de Função (IFPUG)</t>
  </si>
  <si>
    <t>?</t>
  </si>
  <si>
    <r>
      <t>Manutenção Corretiva</t>
    </r>
    <r>
      <rPr>
        <sz val="8"/>
        <color indexed="9"/>
        <rFont val="Arial"/>
        <family val="2"/>
      </rPr>
      <t xml:space="preserve"> (Legado ou S/ Garantia)</t>
    </r>
  </si>
  <si>
    <t>Manutenção Adaptativa</t>
  </si>
  <si>
    <t>Melhoria Evolutiva - Func. Incluídas</t>
  </si>
  <si>
    <t xml:space="preserve">Melhoria Evolutiva - Func. Alteradas </t>
  </si>
  <si>
    <t>Melhoria Evolutiva - Func. Excluídas</t>
  </si>
  <si>
    <t>Tamanho Funcional Ajustado</t>
  </si>
  <si>
    <r>
      <t>Requisitos Técnicos</t>
    </r>
    <r>
      <rPr>
        <sz val="8"/>
        <color indexed="9"/>
        <rFont val="Arial"/>
        <family val="2"/>
      </rPr>
      <t xml:space="preserve"> (Correlação com Guia Local)</t>
    </r>
  </si>
  <si>
    <t>Total Pontos de Função (Tamanho Funcional Ajustado + Requisitos Não Funcionais)</t>
  </si>
  <si>
    <t>Escopo geral da contagem</t>
  </si>
  <si>
    <t>Histórico do Documento</t>
  </si>
  <si>
    <t>Data</t>
  </si>
  <si>
    <t>Versão</t>
  </si>
  <si>
    <t>Descrição</t>
  </si>
  <si>
    <t>Autor</t>
  </si>
  <si>
    <t>1.0</t>
  </si>
  <si>
    <t>Planilha de contagem de ponto de função - Versão 1.0</t>
  </si>
  <si>
    <t>Total PF IFPUG</t>
  </si>
  <si>
    <t>PF Local do EM</t>
  </si>
  <si>
    <t>Total PF Ajustado</t>
  </si>
  <si>
    <t>Fases/Disciplinas</t>
  </si>
  <si>
    <t>Medição / Sprint / Tarefa</t>
  </si>
  <si>
    <t>Detalhes / Nome da Função</t>
  </si>
  <si>
    <t>Tipo</t>
  </si>
  <si>
    <t>Manutenção</t>
  </si>
  <si>
    <t>TD</t>
  </si>
  <si>
    <t>Descr TD</t>
  </si>
  <si>
    <t>AR/TR</t>
  </si>
  <si>
    <t>Descr AR/TR</t>
  </si>
  <si>
    <t>Complex.</t>
  </si>
  <si>
    <t>ctl</t>
  </si>
  <si>
    <t>PF IFPUG</t>
  </si>
  <si>
    <t>C</t>
  </si>
  <si>
    <t>ctl2</t>
  </si>
  <si>
    <t>PF Ajustado</t>
  </si>
  <si>
    <t>Requisitos (25%)</t>
  </si>
  <si>
    <t>Projeto 
(10%)</t>
  </si>
  <si>
    <t>Implementação (40%)</t>
  </si>
  <si>
    <t>Teste 
(15%)</t>
  </si>
  <si>
    <t>Homologação
(5%)</t>
  </si>
  <si>
    <t>Implantação (5%)</t>
  </si>
  <si>
    <t>Não se aplica</t>
  </si>
  <si>
    <t>% Percentual por Disciplina</t>
  </si>
  <si>
    <t>Referência</t>
  </si>
  <si>
    <t>Observações</t>
  </si>
  <si>
    <t>SE</t>
  </si>
  <si>
    <t>COR50</t>
  </si>
  <si>
    <t>x</t>
  </si>
  <si>
    <t>EE</t>
  </si>
  <si>
    <t>PFT</t>
  </si>
  <si>
    <t>PA</t>
  </si>
  <si>
    <t>A</t>
  </si>
  <si>
    <t>CE</t>
  </si>
  <si>
    <t>ALI</t>
  </si>
  <si>
    <t>I</t>
  </si>
  <si>
    <t>DCDI</t>
  </si>
  <si>
    <t>COSNF</t>
  </si>
  <si>
    <t>Itens Não Mensuráveis</t>
  </si>
  <si>
    <t>Tipo de Manutenção na Função</t>
  </si>
  <si>
    <t>Sigla</t>
  </si>
  <si>
    <t>Contribuição em PF Local</t>
  </si>
  <si>
    <t>PF Local FS</t>
  </si>
  <si>
    <t>Fator Disciplina</t>
  </si>
  <si>
    <t>Tamanho Ajustado</t>
  </si>
  <si>
    <t>Contrato</t>
  </si>
  <si>
    <t>Origem</t>
  </si>
  <si>
    <t>Percentual (%)</t>
  </si>
  <si>
    <t>Fixa (PF)</t>
  </si>
  <si>
    <t>SISP 2.3</t>
  </si>
  <si>
    <t>Inclusão</t>
  </si>
  <si>
    <t>EvolutivaI</t>
  </si>
  <si>
    <t>Alteração (sem conhecimento do Fator de Impacto)</t>
  </si>
  <si>
    <t>SISP – 4.2 Projeto de Melhoria</t>
  </si>
  <si>
    <t>EvolutivaA</t>
  </si>
  <si>
    <t>Exclusão</t>
  </si>
  <si>
    <t>E</t>
  </si>
  <si>
    <t>EvolutivaE</t>
  </si>
  <si>
    <t>Alteração (50%) de função desenvolvida ou já alterada pela empresa atual</t>
  </si>
  <si>
    <t>A50</t>
  </si>
  <si>
    <t xml:space="preserve"> FI = 75% para funcionalidade de sistema não desenvolvida ou mantida por meio de um projeto de melhoria pela empresa contratada e sem necessidade de redocumentação da funcionalidade.</t>
  </si>
  <si>
    <t>A75</t>
  </si>
  <si>
    <t>Alteração (75%+15%): o mesmo acima + redocumentar a função</t>
  </si>
  <si>
    <t>A90</t>
  </si>
  <si>
    <t>Migração de Dados</t>
  </si>
  <si>
    <t>SISP – 4.3 Projetos de Migração de Dados</t>
  </si>
  <si>
    <t>PMD</t>
  </si>
  <si>
    <t>Corretiva (sem conhecimento do Fator de Impacto)</t>
  </si>
  <si>
    <t>SISP – 4.4 Manutenção Corretiva</t>
  </si>
  <si>
    <t>COR</t>
  </si>
  <si>
    <t>CORRETIVA</t>
  </si>
  <si>
    <t>Corretiva (50%) - Fora da garantia (mesma empresa)</t>
  </si>
  <si>
    <t>Corretiva (75%) - Fora da garantia (outra empresa)</t>
  </si>
  <si>
    <t>COR75</t>
  </si>
  <si>
    <t>Corretiva (75%+15%) - Fora da garantia (outra empresa) + Redocumentação</t>
  </si>
  <si>
    <t>COR90</t>
  </si>
  <si>
    <t>Corretiva em Garantia</t>
  </si>
  <si>
    <t>GAR</t>
  </si>
  <si>
    <t>Mudança de Plataforma - Linguagem de Programação</t>
  </si>
  <si>
    <t>SISP – 4.5.1 Mudança de Plataforma – Linguagem de Programação</t>
  </si>
  <si>
    <t>MLP</t>
  </si>
  <si>
    <t>ADAPTATIVA</t>
  </si>
  <si>
    <t>Mudança de Plataforma - Banco de Dados (outro paradigma)</t>
  </si>
  <si>
    <t>SISP – 4.5.2 Mudança de Plataforma – Banco de Dados</t>
  </si>
  <si>
    <t>MBO</t>
  </si>
  <si>
    <t>Mudança de Plataforma - Banco de Dados (mesmo paradigma com alterações)</t>
  </si>
  <si>
    <t>MBM</t>
  </si>
  <si>
    <t>Atualização de Versão – Linguagem de Programação</t>
  </si>
  <si>
    <t>SISP – 4.6.1 Atualização de Versão – Linguagem de Programação</t>
  </si>
  <si>
    <t>ALP</t>
  </si>
  <si>
    <t>Atualização de Versão – Browser</t>
  </si>
  <si>
    <t>SISP – 4.6.2 Atualização de Versão – Browser</t>
  </si>
  <si>
    <t>AVB</t>
  </si>
  <si>
    <t>Atualização de Versão – Banco de Dados</t>
  </si>
  <si>
    <t>SISP – 4.6.3 Atualização de Versão – Banco de Dados</t>
  </si>
  <si>
    <t>ABD</t>
  </si>
  <si>
    <t>Manutenção Cosmética</t>
  </si>
  <si>
    <t>SISP – 4.7 Manutenção Cosmética</t>
  </si>
  <si>
    <t>COS</t>
  </si>
  <si>
    <t>Adaptação em Funcionalidades sem Alteração de Requisitos Funcionais (sem conhecimento do Fator de Impacto)</t>
  </si>
  <si>
    <t>SISP – 4.8 Adaptação em Funcionalidades sem Alteração de Requisitos Funcionais</t>
  </si>
  <si>
    <t>ARN</t>
  </si>
  <si>
    <t>Adaptação em Funcionalidades sem Alteração de Requisitos Funcionais (50%) (em função desenvolvida ou já alterada pela empresa atual)</t>
  </si>
  <si>
    <t>ARN50</t>
  </si>
  <si>
    <t>Adaptação em Funcionalidades sem Alteração de Requisitos Funcionais (75%) (em função não desenvolvida e ainda não alterada pela empresa atual)</t>
  </si>
  <si>
    <t>ARN75</t>
  </si>
  <si>
    <t>Atualização de Dados sem Consulta Prévia</t>
  </si>
  <si>
    <t>SISP – 4.9.1 Apuração Especial – Base de Dados</t>
  </si>
  <si>
    <t>ADS</t>
  </si>
  <si>
    <t>Consulta Prévia sem Atualização</t>
  </si>
  <si>
    <t>CPA</t>
  </si>
  <si>
    <t>Atualização de Dados com Consulta Prévia</t>
  </si>
  <si>
    <t>ADC</t>
  </si>
  <si>
    <t>Apuração Especial – Geração de Relatórios</t>
  </si>
  <si>
    <t>SISP – 4.9.2 Apuração Especial – Geração de Relatórios</t>
  </si>
  <si>
    <t>AGR</t>
  </si>
  <si>
    <t>Apuração Especial – Reexecução</t>
  </si>
  <si>
    <t>SISP – 4.9.3 Apuração Especial – Reexecução</t>
  </si>
  <si>
    <t>AER</t>
  </si>
  <si>
    <t>Atualização de Dados</t>
  </si>
  <si>
    <t>SISP – 4.10 Atualização de Dados</t>
  </si>
  <si>
    <t>ATD</t>
  </si>
  <si>
    <t>Manutenção de Documentação de Sistemas Legados</t>
  </si>
  <si>
    <t>SISP – 4.12 Manutenção de Documentação de Sistemas Legados</t>
  </si>
  <si>
    <t>MSL</t>
  </si>
  <si>
    <t>Verificação de Erros (Sem Documentação de Teste existente)</t>
  </si>
  <si>
    <t>SISP – 4.13 Verificação de Erros</t>
  </si>
  <si>
    <t>VES</t>
  </si>
  <si>
    <t>Verificação de Erros (Com Documentação de Teste existente)</t>
  </si>
  <si>
    <t>VEC</t>
  </si>
  <si>
    <t>Pontos de Função de Teste</t>
  </si>
  <si>
    <t>SISP – 4.14 Pontos de Função de Teste</t>
  </si>
  <si>
    <t>Componente Interno Reusável</t>
  </si>
  <si>
    <t>SISP – 4.15 Componente Interno Reusável</t>
  </si>
  <si>
    <t>CIR</t>
  </si>
  <si>
    <t>PRODESP - TCESP</t>
  </si>
  <si>
    <t>Alteração em funcionalidade</t>
  </si>
  <si>
    <t>Confirmar com o Responsáveis!!!!! E-mail 
13 de jun. de 2022 15:11</t>
  </si>
  <si>
    <t xml:space="preserve">           .</t>
  </si>
  <si>
    <t>AIE</t>
  </si>
  <si>
    <t>Quantidade</t>
  </si>
  <si>
    <t>Páginas Estáticas</t>
  </si>
  <si>
    <t>SISP – 4.11 Desenvolvimento, Manutenção e Publicação de Paginas Estáticas de Intranet, Internet ou Portal</t>
  </si>
  <si>
    <t>PAG</t>
  </si>
  <si>
    <t>PRODESP</t>
  </si>
  <si>
    <r>
      <rPr>
        <b/>
        <sz val="9"/>
        <color indexed="12"/>
        <rFont val="Franklin Gothic Medium"/>
        <family val="2"/>
      </rPr>
      <t>Conteúdo estático em sites ou Portais</t>
    </r>
    <r>
      <rPr>
        <sz val="9"/>
        <color indexed="12"/>
        <rFont val="Franklin Gothic Medium"/>
        <family val="2"/>
      </rPr>
      <t xml:space="preserve"> - neste item são considerados página e seus componentes internos, menus e arquivos para download </t>
    </r>
    <r>
      <rPr>
        <b/>
        <sz val="9"/>
        <color indexed="12"/>
        <rFont val="Franklin Gothic Medium"/>
        <family val="2"/>
      </rPr>
      <t>(Incluídos e Alterados)</t>
    </r>
  </si>
  <si>
    <t>Guia local - Edital com a Prodesp - PRO-7952</t>
  </si>
  <si>
    <r>
      <rPr>
        <b/>
        <sz val="9"/>
        <color indexed="12"/>
        <rFont val="Franklin Gothic Medium"/>
        <family val="2"/>
      </rPr>
      <t>Conteúdo estático em sites ou Portais</t>
    </r>
    <r>
      <rPr>
        <sz val="9"/>
        <color indexed="12"/>
        <rFont val="Franklin Gothic Medium"/>
        <family val="2"/>
      </rPr>
      <t xml:space="preserve"> - neste item são considerados página e seus componentes internos, menus e arquivos para download </t>
    </r>
    <r>
      <rPr>
        <b/>
        <sz val="9"/>
        <color indexed="12"/>
        <rFont val="Franklin Gothic Medium"/>
        <family val="2"/>
      </rPr>
      <t>(Excluídos)</t>
    </r>
  </si>
  <si>
    <t>COSNFE</t>
  </si>
  <si>
    <r>
      <rPr>
        <b/>
        <sz val="9"/>
        <color indexed="12"/>
        <rFont val="Franklin Gothic Medium"/>
        <family val="2"/>
      </rPr>
      <t xml:space="preserve">Dados de Código </t>
    </r>
    <r>
      <rPr>
        <sz val="9"/>
        <color indexed="12"/>
        <rFont val="Franklin Gothic Medium"/>
        <family val="2"/>
      </rPr>
      <t>- Inclusão de Tabela</t>
    </r>
  </si>
  <si>
    <t>Dados de Código -Alteração de Tabela</t>
  </si>
  <si>
    <t>DCDA</t>
  </si>
  <si>
    <t>Dados de Código - Exclusão de Tabela</t>
  </si>
  <si>
    <t>DCDE</t>
  </si>
  <si>
    <t>Dados de Código - Inclusão de funcionalidade</t>
  </si>
  <si>
    <t>DCFI</t>
  </si>
  <si>
    <t>Dados de Código - Alteração de funcionalidade</t>
  </si>
  <si>
    <t>DCFA</t>
  </si>
  <si>
    <t>Dados de Código - Exclusão de funcionalidade</t>
  </si>
  <si>
    <t>DCFE</t>
  </si>
  <si>
    <r>
      <rPr>
        <b/>
        <sz val="9"/>
        <color indexed="12"/>
        <rFont val="Franklin Gothic Medium"/>
        <family val="2"/>
      </rPr>
      <t>Manutenção de Elastic Search (DATA LAKES)-</t>
    </r>
    <r>
      <rPr>
        <sz val="9"/>
        <color indexed="12"/>
        <rFont val="Franklin Gothic Medium"/>
        <family val="2"/>
      </rPr>
      <t xml:space="preserve"> Inclusão de Índice</t>
    </r>
  </si>
  <si>
    <t>DATDI</t>
  </si>
  <si>
    <t>Manutenção de Elastic Search (DATA LAKES) Alteração de Índice</t>
  </si>
  <si>
    <t>DATDA</t>
  </si>
  <si>
    <t>Manutenção de Elastic Search (DATA LAKES) - Exclusão de Índice</t>
  </si>
  <si>
    <t>DATDE</t>
  </si>
  <si>
    <t>Manutenção de Elastic Search (DATA LAKES) - Inclusão de ETL</t>
  </si>
  <si>
    <t>DATEI</t>
  </si>
  <si>
    <t>Manutenção de Elastic Search (DATA LAKES) - Alteração de ETL</t>
  </si>
  <si>
    <t>DATEA</t>
  </si>
  <si>
    <t>Manutenção de Elastic Search (DATA LAKES) - Exclusão de ETL</t>
  </si>
  <si>
    <t>DATEE</t>
  </si>
  <si>
    <r>
      <t xml:space="preserve">Dados Hard Coded - </t>
    </r>
    <r>
      <rPr>
        <sz val="9"/>
        <color indexed="12"/>
        <rFont val="Franklin Gothic Medium"/>
        <family val="2"/>
      </rPr>
      <t>Contempla inclusão, alteração ou exclusão de dados em unidades de implementação, tais como programas-fonte ou scripts SQL ou DDL</t>
    </r>
  </si>
  <si>
    <t>HARDC</t>
  </si>
  <si>
    <r>
      <t>Pronto-atendimento</t>
    </r>
    <r>
      <rPr>
        <sz val="9"/>
        <color rgb="FF0000FF"/>
        <rFont val="Franklin Gothic Medium"/>
        <family val="2"/>
      </rPr>
      <t xml:space="preserve"> - Contempla tarefas de pronto-atendimento (considera 10h = 1 PF)</t>
    </r>
  </si>
  <si>
    <t>Projeto de Desenvolvimento</t>
  </si>
  <si>
    <t>Levi Barros Nóbrega</t>
  </si>
  <si>
    <t>Criação da planilha e inclusão das contagens das Sprints iniciais para entrada em produção do Sistema</t>
  </si>
  <si>
    <t>PGF - Fase 1</t>
  </si>
  <si>
    <t>PGF - Plataforma de Gestão Financeira</t>
  </si>
  <si>
    <t>Planilha para controle das medições do PGF Fase 1</t>
  </si>
  <si>
    <t>Clientes_e_Enderecos</t>
  </si>
  <si>
    <t>TR 1 – Cliente (clientes)
TD (12): id (uuid), cpf_cnpj (text), nome_razao_social (text), email (text), telefone (text), tipo_cliente (text), status (text), user_id (uuid), data_cadastro (timestamp), created_at (timestamp), updated_at (timestamp).
TR 2 – Endereço de Cobrança (endereco_cobranca JSONB)
TD (6): logradouro, numero, complemento, bairro, cidade, uf, cep.</t>
  </si>
  <si>
    <t>(1) Cliente – dados cadastrais principais do cliente PF/PJ;
(2) Endereço de Cobrança – estrutura JSONB contendo endereço completo para faturamento.</t>
  </si>
  <si>
    <t>Usuarios_Profiles_Roles</t>
  </si>
  <si>
    <t>TR 1 – Perfil de Usuário (profiles)
TD (8): id (uuid), email (text), nome (text), cpf_cnpj (text), telefone (text), avatar_url (text), created_at (timestamp), updated_at (timestamp).
TR 2 – Papéis do Usuário (user_roles)
TD (4): id (uuid), user_id (uuid), role (app_role), created_at (timestamp).
TR 3 – Perfil-Usuário (usuario_perfis)
TD (4): id (uuid), user_id (uuid), perfil_id (uuid), created_at (timestamp).</t>
  </si>
  <si>
    <t>(1) Profiles – dados de perfil vinculados ao auth.users;
(2) User Roles – papéis do sistema (admin, comercial, financeiro, cliente);
(3) Usuario Perfis – vínculo com perfis customizados para permissões granulares.</t>
  </si>
  <si>
    <t>Perfis_e_Permissoes</t>
  </si>
  <si>
    <t>TR 1 – Perfis (perfis)
TD (8): id (uuid), nome (text), descricao (text), status (text), is_sistema (boolean), rota_padrao (text), created_at (timestamp), updated_at (timestamp).
TR 2 – Permissões (permissoes)
TD (6): id (uuid), codigo (text), nome (text), descricao (text), modulo (text), created_at (timestamp).
TR 3 – Perfil-Permissões (perfil_permissoes)
TD (3): perfil_id (uuid), permissao_id (uuid), created_at (timestamp).</t>
  </si>
  <si>
    <t>(1) Perfis – grupos de permissões nomeados;
(2) Permissões – permissões atômicas por módulo;
(3) Perfil-Permissões – associação N:N entre perfis e permissões.</t>
  </si>
  <si>
    <t>Tipos_Documentos</t>
  </si>
  <si>
    <t>TR 1 – Tipos de Documentos (tipos_documentos)
TD (6): id (uuid), nome (text), validade_em_dias (integer), status (text), created_at (timestamp), updated_at (timestamp).</t>
  </si>
  <si>
    <t>(1) Tipos de Documentos – cadastro de tipos de documentos exigidos para adesão (RG, CPF, Contrato Social, etc.).</t>
  </si>
  <si>
    <t>Sistemas_Origem_e_Docs</t>
  </si>
  <si>
    <t>TR 1 – Sistemas de Origem (sistemas_origem)
TD (8): id (uuid), nome (text), sigla (text), permite_cadastro_manual (boolean), exige_documentacao_complementar (boolean), status (text), created_at (timestamp), updated_at (timestamp).
TR 2 – Documentos Obrigatórios (sistema_origem_documentos_obrigatorios)
TD (2): sistema_origem_id (uuid), tipo_documento_id (uuid).</t>
  </si>
  <si>
    <t>(1) Sistemas de Origem – sistemas externos que geram consumo (CNH SRV, CRV);
(2) Documentos Obrigatórios – relação N:N definindo quais documentos são exigidos por sistema.</t>
  </si>
  <si>
    <t>Modelos_Contrato</t>
  </si>
  <si>
    <t>TR 1 – Modelos de Contrato (modelos_contrato)
TD (9): id (uuid), codigo (text), nome (text), conteudo_modelo (text), data_vigencia_inicial (date), data_vigencia_final (date), status (text), created_at (timestamp), updated_at (timestamp).</t>
  </si>
  <si>
    <t>(1) Modelos de Contrato – templates de contrato com merge fields para geração automática de contratos.</t>
  </si>
  <si>
    <t>Propostas_e_Documentos</t>
  </si>
  <si>
    <t>TR 1 – Propostas (propostas)
TD (10): id (uuid), cliente_id (uuid), sistema_origem_id (uuid), modelo_contrato_id (uuid), data_proposta (timestamp), status (text), observacoes (text), created_by (uuid), created_at (timestamp), updated_at (timestamp).
TR 2 – Documentos do Cliente (documentos_cliente)
TD (12): id (uuid), proposta_id (uuid), tipo_documento_id (uuid), url_documento (text), numero_documento (text), data_upload (timestamp), status (text), motivo_recusa (text), aprovado_por (uuid), data_aprovacao (timestamp), created_at (timestamp), updated_at (timestamp).</t>
  </si>
  <si>
    <t>(1) Propostas – registro de propostas comerciais vinculando cliente, sistema e modelo;
(2) Documentos do Cliente – uploads de documentos com workflow de aprovação/recusa.</t>
  </si>
  <si>
    <t>Contratos</t>
  </si>
  <si>
    <t>TR 1 – Contratos (contratos)
TD (12): id (uuid), proposta_id (uuid), cliente_id (uuid), sistema_origem_id (uuid), modelo_contrato_id (uuid), numero_contrato (text), data_assinatura (timestamp), status (text), motivo_suspensao (text), url_contrato_assinado (text), created_at (timestamp), updated_at (timestamp).</t>
  </si>
  <si>
    <t>(1) Contratos – contratos assinados gerados a partir de propostas aprovadas, representando a unidade financeira do cliente.</t>
  </si>
  <si>
    <t>Servicos_Faturaveis</t>
  </si>
  <si>
    <t>TR 1 – Serviços Faturáveis (servicos_faturaveis)
TD (12): id (uuid), codigo_prodesp (text), numero_transacao (text), descricao (text), valor (numeric), data_vigencia_inicial (date), data_vigencia_final (date), exibir_no_extrato (boolean), cobrar_por_hora_dia (boolean), status (text), created_at (timestamp), updated_at (timestamp).</t>
  </si>
  <si>
    <t>(1) Serviços Faturáveis – catálogo de serviços cobráveis com valores e vigências.</t>
  </si>
  <si>
    <t>Servicos_Especiais_e_Agendamentos</t>
  </si>
  <si>
    <t>TR 1 – Serviços Especiais (servicos_especiais)
TD (5): id (uuid), descricao (text), tipo (text), status (text), created_at (timestamp), updated_at (timestamp).
TR 2 – Agendamentos (agendamentos_servicos_especiais)
TD (13): id (uuid), servico_especial_id (uuid), cliente_id (uuid), tipo_cliente_alvo (text), data_agendamento (date), data_aplicacao (date), tipo_calculo (text), valor_percentual (numeric), valor_fixo (numeric), status (text), created_by (uuid), created_at (timestamp), updated_at (timestamp).</t>
  </si>
  <si>
    <t>(1) Serviços Especiais – créditos e débitos especiais para ajustes;
(2) Agendamentos – programação de aplicação de serviços especiais por cliente ou grupo.</t>
  </si>
  <si>
    <t>Municipios_e_Feriados</t>
  </si>
  <si>
    <t>TR 1 – Municípios (municipios)
TD (7): id (uuid), nome (text), uf (text), codigo_ibge (integer), status (text), created_at (timestamp), updated_at (timestamp).
TR 2 – Feriados Regionais (feriados_regionais)
TD (7): id (uuid), municipio_id (uuid), data_feriado (date), descricao (text), status (text), created_at (timestamp), updated_at (timestamp).</t>
  </si>
  <si>
    <t>(1) Municípios – cadastro de municípios brasileiros com código IBGE;
(2) Feriados Regionais – feriados por município para cálculo de dias úteis.</t>
  </si>
  <si>
    <t>Taxas_Juros</t>
  </si>
  <si>
    <t>TR 1 – Taxas e Juros (taxas_juros)
TD (8): id (uuid), percentual_multa (numeric), juros_mora_ao_dia (numeric), data_vigencia_inicial (date), data_vigencia_final (date), status (text), created_at (timestamp), updated_at (timestamp).</t>
  </si>
  <si>
    <t>(1) Taxas e Juros – configuração de multa e juros de mora aplicáveis a cobranças em atraso.</t>
  </si>
  <si>
    <t>Jobs_Agendados</t>
  </si>
  <si>
    <t>TR 1 – Jobs Agendados (jobs_agendados)
TD (10): id (uuid), nome_job (text), descricao (text), periodicidade (text), status (text), ultima_execucao (timestamp), proxima_execucao (timestamp), configuracao (jsonb), created_at (timestamp), updated_at (timestamp).</t>
  </si>
  <si>
    <t>(1) Jobs Agendados – controle de jobs de processamento automático (bilhetagem, inadimplência, suspensão).</t>
  </si>
  <si>
    <t>Periodos_e_Cobrancas</t>
  </si>
  <si>
    <t>TR 1 – Períodos de Cobrança (periodos_cobranca)
TD (7): id (uuid), nome (text), data_inicio (date), data_fim (date), status (text), created_by (uuid), created_at (timestamp).
TR 2 – Cobranças (cobrancas)
TD (15): id (uuid), contrato_id (uuid), periodo_cobranca_id (uuid), data_vencimento (date), valor_original (numeric), valor_total (numeric), referencia_mes (date), numero_boleto (text), url_boleto (text), status (text), observacao (text), data_pagamento (date), created_by (uuid), created_at (timestamp), updated_at (timestamp).</t>
  </si>
  <si>
    <t>(1) Períodos de Cobrança – ciclos de faturamento (mensal);
(2) Cobranças – boletos gerados por contrato/período com valores e status de pagamento.</t>
  </si>
  <si>
    <t>Pagamentos</t>
  </si>
  <si>
    <t>TR 1 – Pagamentos (pagamentos)
TD (15): id (uuid), cobranca_id (uuid), valor_pago (numeric), data_pagamento (timestamp), metodo_pagamento (text), status (text), banco (text), agencia (text), conta (text), nosso_numero (text), observacao (text), arquivo_retorno_id (uuid), created_by (uuid), created_at (timestamp), updated_at (timestamp).</t>
  </si>
  <si>
    <t>(1) Pagamentos – registros de pagamentos recebidos via retorno bancário ou baixa manual.</t>
  </si>
  <si>
    <t>Consumos</t>
  </si>
  <si>
    <t>TR 1 – Consumos (consumos)
TD (13): id (uuid), contrato_id (uuid), servico_faturavel_id (uuid), quantidade (integer), data_hora (timestamp), valor_unitario (numeric), valor_total (numeric), origem (text), status (text), cobranca_id (uuid), arquivo_importacao_id (uuid), created_by (uuid), created_at (timestamp).</t>
  </si>
  <si>
    <t>(1) Consumos – registros de consumo de serviços por contrato, base para faturamento.</t>
  </si>
  <si>
    <t>RPS_e_NFe</t>
  </si>
  <si>
    <t>TR 1 – RPS e NF-e (rps)
TD (11): id (uuid), cobranca_id (uuid), numero_rps (text), data_emissao (date), valor (numeric), status_nf_e (text), numero_nf_e (text), xml_nf_e (text), data_processamento_nf_e (timestamp), created_at (timestamp), updated_at (timestamp).</t>
  </si>
  <si>
    <t>(1) RPS – Recibo Provisório de Serviços com integração para NF-e municipal.</t>
  </si>
  <si>
    <t>Arquivos_Importacao</t>
  </si>
  <si>
    <t>TR 1 – Arquivos de Importação (arquivos_importacao)
TD (11): id (uuid), tipo (text), nome_arquivo (text), data_importacao (timestamp), total_registros (integer), registros_processados (integer), registros_erro (integer), log_processamento (jsonb), status (text), created_by (uuid), created_at (timestamp).</t>
  </si>
  <si>
    <t>(1) Arquivos de Importação – histórico de importações de retorno bancário, NF-e e carga de consumo.</t>
  </si>
  <si>
    <t>Arquivos_Exportacao</t>
  </si>
  <si>
    <t>TR 1 – Arquivos de Exportação (arquivos_exportacao)
TD (10): id (uuid), tipo (text), nome_arquivo (text), url_arquivo (text), data_exportacao (timestamp), periodo_inicio (date), periodo_fim (date), total_registros (integer), created_by (uuid), created_at (timestamp).</t>
  </si>
  <si>
    <t>(1) Arquivos de Exportação – histórico de exportações de remessa bancária, arquivos contábeis e fiscais.</t>
  </si>
  <si>
    <t>Logs_Sistema</t>
  </si>
  <si>
    <t>TR 1 – Logs do Sistema (logs_sistema)
TD (7): id (uuid), data_hora (timestamp), nivel (text), mensagem (text), modulo (text), usuario_id (uuid), metadata (jsonb).</t>
  </si>
  <si>
    <t>(1) Logs do Sistema – registro de eventos e erros para auditoria e debugging.</t>
  </si>
  <si>
    <t>Cadastro_PreCliente</t>
  </si>
  <si>
    <t>nome_razao_social, cpf_cnpj, email, telefone, tipo_cliente, logradouro, numero, complemento, bairro, cidade, uf, cep. Campos do formulário de pré-cadastro.</t>
  </si>
  <si>
    <t>clientes (inserção de dados), profiles (criação via trigger se user_id vinculado).</t>
  </si>
  <si>
    <t>Atualizar_Cliente</t>
  </si>
  <si>
    <t>nome_razao_social, cpf_cnpj, email, telefone, tipo_cliente, status, logradouro, numero, complemento, bairro, cidade, uf, cep. Campos editáveis do cliente.</t>
  </si>
  <si>
    <t>clientes (atualização), endereco_cobranca (atualização JSONB).</t>
  </si>
  <si>
    <t>Inativar_Reativar_Cliente</t>
  </si>
  <si>
    <t>id, status (ativo/inativo), updated_at. Campos para alteração de status.</t>
  </si>
  <si>
    <t>clientes (atualização de status).</t>
  </si>
  <si>
    <t>Cadastro_TipoDocumento</t>
  </si>
  <si>
    <t>nome, validade_em_dias, status. Campos do formulário de criação.</t>
  </si>
  <si>
    <t>tipos_documentos (inserção).</t>
  </si>
  <si>
    <t>Atualizar_TipoDocumento</t>
  </si>
  <si>
    <t>nome, validade_em_dias, status. Campos editáveis.</t>
  </si>
  <si>
    <t>tipos_documentos (atualização).</t>
  </si>
  <si>
    <t>Toggle_Status_TipoDocumento</t>
  </si>
  <si>
    <t>id, status. Alteração de status ativo/inativo.</t>
  </si>
  <si>
    <t>Cadastro_SistemaOrigem</t>
  </si>
  <si>
    <t>nome, sigla, permite_cadastro_manual, exige_documentacao_complementar, status. Campos do formulário.</t>
  </si>
  <si>
    <t>sistemas_origem (inserção).</t>
  </si>
  <si>
    <t>Atualizar_SistemaOrigem</t>
  </si>
  <si>
    <t>nome, sigla, permite_cadastro_manual, exige_documentacao_complementar, status. Campos editáveis.</t>
  </si>
  <si>
    <t>sistemas_origem (atualização).</t>
  </si>
  <si>
    <t>Vincular_DocumentosObrigatorios</t>
  </si>
  <si>
    <t>sistema_origem_id, tipo_documento_id (array). Associação de documentos ao sistema.</t>
  </si>
  <si>
    <t>sistema_origem_documentos_obrigatorios (inserção/exclusão), tipos_documentos (referência).</t>
  </si>
  <si>
    <t>Cadastro_ModeloContrato</t>
  </si>
  <si>
    <t>codigo, nome, conteudo_modelo, data_vigencia_inicial, data_vigencia_final, status. Campos do formulário com editor rich text.</t>
  </si>
  <si>
    <t>modelos_contrato (inserção).</t>
  </si>
  <si>
    <t>Atualizar_ModeloContrato</t>
  </si>
  <si>
    <t>codigo, nome, conteudo_modelo, data_vigencia_inicial, data_vigencia_final, status. Campos editáveis.</t>
  </si>
  <si>
    <t>modelos_contrato (atualização).</t>
  </si>
  <si>
    <t>Cadastro_Proposta</t>
  </si>
  <si>
    <t>cliente_id, sistema_origem_id, modelo_contrato_id, observacoes, status. Campos do formulário de proposta.</t>
  </si>
  <si>
    <t>propostas (inserção), clientes (referência), sistemas_origem (referência), modelos_contrato (referência).</t>
  </si>
  <si>
    <t>Atualizar_Status_Proposta</t>
  </si>
  <si>
    <t>id, status, observacoes, updated_at. Alteração de status da proposta.</t>
  </si>
  <si>
    <t>propostas (atualização), documentos_cliente (verificação).</t>
  </si>
  <si>
    <t>Upload_Documento_Cliente</t>
  </si>
  <si>
    <t>proposta_id, tipo_documento_id, url_documento, numero_documento, data_upload. Upload de documento.</t>
  </si>
  <si>
    <t>documentos_cliente (inserção), tipos_documentos (referência).</t>
  </si>
  <si>
    <t>Aprovar_Documento</t>
  </si>
  <si>
    <t>id, status (aprovado), aprovado_por, data_aprovacao, motivo_recusa (null). Aprovação de documento.</t>
  </si>
  <si>
    <t>documentos_cliente (atualização), propostas (verificação).</t>
  </si>
  <si>
    <t>Recusar_Documento</t>
  </si>
  <si>
    <t>id, status (recusado), motivo_recusa, aprovado_por, data_aprovacao. Recusa com motivo obrigatório.</t>
  </si>
  <si>
    <t>documentos_cliente (atualização), propostas (atualização status).</t>
  </si>
  <si>
    <t>Criar_Contrato_de_Proposta</t>
  </si>
  <si>
    <t>proposta_id, cliente_id, sistema_origem_id, modelo_contrato_id, numero_contrato, data_assinatura, url_contrato_assinado, status. Criação de contrato a partir de proposta assinada.</t>
  </si>
  <si>
    <t>contratos (inserção), propostas (atualização status), clientes (referência), modelos_contrato (referência).</t>
  </si>
  <si>
    <t>Suspender_Contrato</t>
  </si>
  <si>
    <t>id, status (suspenso), motivo_suspensao, updated_at. Suspensão com motivo.</t>
  </si>
  <si>
    <t>contratos (atualização).</t>
  </si>
  <si>
    <t>Reativar_Contrato</t>
  </si>
  <si>
    <t>id, status (ativo), motivo_suspensao (null), updated_at. Reativação de contrato.</t>
  </si>
  <si>
    <t>Cadastro_TaxaJuros</t>
  </si>
  <si>
    <t>percentual_multa, juros_mora_ao_dia, data_vigencia_inicial, data_vigencia_final, status. Configuração de taxas.</t>
  </si>
  <si>
    <t>taxas_juros (inserção).</t>
  </si>
  <si>
    <t>Atualizar_TaxaJuros</t>
  </si>
  <si>
    <t>percentual_multa, juros_mora_ao_dia, data_vigencia_inicial, data_vigencia_final, status. Edição de taxas.</t>
  </si>
  <si>
    <t>taxas_juros (atualização).</t>
  </si>
  <si>
    <t>Toggle_Status_TaxaJuros</t>
  </si>
  <si>
    <t>id, status. Alteração ativo/inativo.</t>
  </si>
  <si>
    <t>Cadastro_Municipio</t>
  </si>
  <si>
    <t>nome, uf, codigo_ibge, status. Cadastro de município.</t>
  </si>
  <si>
    <t>municipios (inserção).</t>
  </si>
  <si>
    <t>Atualizar_Municipio</t>
  </si>
  <si>
    <t>nome, uf, codigo_ibge, status. Edição de município.</t>
  </si>
  <si>
    <t>municipios (atualização).</t>
  </si>
  <si>
    <t>Toggle_Status_Municipio</t>
  </si>
  <si>
    <t>Cadastro_Feriado</t>
  </si>
  <si>
    <t>municipio_id, data_feriado, descricao, status. Cadastro de feriado regional.</t>
  </si>
  <si>
    <t>feriados_regionais (inserção), municipios (referência).</t>
  </si>
  <si>
    <t>Atualizar_Feriado</t>
  </si>
  <si>
    <t>municipio_id, data_feriado, descricao, status. Edição de feriado.</t>
  </si>
  <si>
    <t>feriados_regionais (atualização), municipios (referência).</t>
  </si>
  <si>
    <t>Excluir_Feriado</t>
  </si>
  <si>
    <t>id. Exclusão de feriado.</t>
  </si>
  <si>
    <t>feriados_regionais (exclusão).</t>
  </si>
  <si>
    <t>Cadastro_ServicoFaturavel</t>
  </si>
  <si>
    <t>codigo_prodesp, numero_transacao, descricao, valor, data_vigencia_inicial, data_vigencia_final, exibir_no_extrato, cobrar_por_hora_dia, status. Cadastro de serviço.</t>
  </si>
  <si>
    <t>servicos_faturaveis (inserção).</t>
  </si>
  <si>
    <t>Atualizar_ServicoFaturavel</t>
  </si>
  <si>
    <t>codigo_prodesp, numero_transacao, descricao, valor, data_vigencia_inicial, data_vigencia_final, exibir_no_extrato, cobrar_por_hora_dia, status. Edição.</t>
  </si>
  <si>
    <t>servicos_faturaveis (atualização).</t>
  </si>
  <si>
    <t>Toggle_Status_ServicoFaturavel</t>
  </si>
  <si>
    <t>Cadastro_ServicoEspecial</t>
  </si>
  <si>
    <t>descricao, tipo (credito/debito), status. Cadastro de serviço especial.</t>
  </si>
  <si>
    <t>servicos_especiais (inserção).</t>
  </si>
  <si>
    <t>Atualizar_ServicoEspecial</t>
  </si>
  <si>
    <t>descricao, tipo, status. Edição de serviço especial.</t>
  </si>
  <si>
    <t>servicos_especiais (atualização).</t>
  </si>
  <si>
    <t>Cadastro_Agendamento</t>
  </si>
  <si>
    <t>servico_especial_id, cliente_id, tipo_cliente_alvo, data_agendamento, data_aplicacao, tipo_calculo, valor_percentual, valor_fixo, status. Agendamento de crédito/débito.</t>
  </si>
  <si>
    <t>agendamentos_servicos_especiais (inserção), servicos_especiais (referência), clientes (referência).</t>
  </si>
  <si>
    <t>Cancelar_Agendamento</t>
  </si>
  <si>
    <t>id, status (cancelado). Cancelamento de agendamento.</t>
  </si>
  <si>
    <t>agendamentos_servicos_especiais (atualização).</t>
  </si>
  <si>
    <t>Ativar_Inativar_Job</t>
  </si>
  <si>
    <t>id, status (ativo/inativo), updated_at. Controle de jobs.</t>
  </si>
  <si>
    <t>jobs_agendados (atualização).</t>
  </si>
  <si>
    <t>Importar_Carga_Consumo</t>
  </si>
  <si>
    <t>contrato_id, servico_faturavel_id, quantidade, data_hora, valor_unitario, valor_total, origem, status. Importação via XLSX.</t>
  </si>
  <si>
    <t>consumos (inserção em lote), contratos (referência), servicos_faturaveis (referência), arquivos_importacao (registro).</t>
  </si>
  <si>
    <t>Cadastro_Perfil</t>
  </si>
  <si>
    <t>nome, descricao, status, rota_padrao, is_sistema. Criação de perfil de acesso.</t>
  </si>
  <si>
    <t>perfis (inserção).</t>
  </si>
  <si>
    <t>Atualizar_Perfil</t>
  </si>
  <si>
    <t>nome, descricao, status, rota_padrao. Edição de perfil.</t>
  </si>
  <si>
    <t>perfis (atualização).</t>
  </si>
  <si>
    <t>Excluir_Perfil</t>
  </si>
  <si>
    <t>id. Exclusão de perfil não-sistema.</t>
  </si>
  <si>
    <t>perfis (exclusão).</t>
  </si>
  <si>
    <t>Atribuir_Permissoes_Perfil</t>
  </si>
  <si>
    <t>perfil_id, permissao_id (array). Toggle de permissões.</t>
  </si>
  <si>
    <t>perfil_permissoes (inserção/exclusão), permissoes (referência).</t>
  </si>
  <si>
    <t>Atribuir_Perfil_Usuario</t>
  </si>
  <si>
    <t>user_id, perfil_id (array). Atribuição de perfis a usuário.</t>
  </si>
  <si>
    <t>usuario_perfis (inserção/exclusão), perfis (referência), profiles (referência).</t>
  </si>
  <si>
    <t>Atribuir_Roles_Usuario</t>
  </si>
  <si>
    <t>user_id, role (array). Atribuição de roles a usuário.</t>
  </si>
  <si>
    <t>user_roles (inserção/exclusão), profiles (referência).</t>
  </si>
  <si>
    <t>Visualizar_Erros_Job</t>
  </si>
  <si>
    <t>id, message, last_execution, config_execution - Análise de Jobs.</t>
  </si>
  <si>
    <t>jobs_agendados (erros de execução).</t>
  </si>
  <si>
    <t>Gratuidade_Detran</t>
  </si>
  <si>
    <t>TR1 - proposta de gratuidade para clientes detran (gratuidades_cliente) TD(15) id (uuid), contrato_id (uuid), tipo_gratuidade (text), status (text), motivo (text), numero_sei (text | null), descricao (text | null), data_inicio (date), data_fim (date | null), percentual_desconto (numeric | null), qtd_chamados_gratuitos (integer | null), valor_limite (numeric | null), created_by (uuid | null), created_at (timestamptz | null), updated_at (timestamptz | null)</t>
  </si>
  <si>
    <t>Cadastro_Gratuidade_Detran</t>
  </si>
  <si>
    <t>TD (6): tipo_gratuidade, numero_sei,
data_inicio, data_fim, motivo, status</t>
  </si>
  <si>
    <t>(4) Contratos, clientes, isencoes_aplicadas</t>
  </si>
  <si>
    <t>(3) RLR: gratuidades_cliente,
contratos, isencoes_aplicadas</t>
  </si>
  <si>
    <t>Visualizar_Relatórios_Detran</t>
  </si>
  <si>
    <t>TD (10): id, cliente_id, contrato_id,
data_operacao, tipo_operacao, descricao,
valor, referencia_id, periodo_inicio, periodo_fim</t>
  </si>
  <si>
    <t>(5) RLR: extratos_operacoes, cobrancas,
pre_faturamentos, pre_faturamento_itens,
periodos_cobranca</t>
  </si>
  <si>
    <t>TD (8): id, numero_boleto, url_boleto,
valor_total, data_vencimento, status,
data_operacao, tipo_operacao</t>
  </si>
  <si>
    <t>(4) RLR: cobrancas, extratos_operacoes,
contratos (RLS por cliente),
rps</t>
  </si>
  <si>
    <t>Portal_Cliente_Dados_Pessoais</t>
  </si>
  <si>
    <t>TD (5): user_id, email, nome,
cpf_cnpj, perfil_id</t>
  </si>
  <si>
    <t>(3) RLR: profiles, clientes,
usuario_perfis</t>
  </si>
  <si>
    <t>Tarefas da Medição 02 - Fevereiro/2026</t>
  </si>
  <si>
    <t>Portal_Cliente_Visualizar_Contrato</t>
  </si>
  <si>
    <t>TD (6): nome_razao_social, proposta_id, numero_contrato, sistema_origem, status_proposta, ação_assinar</t>
  </si>
  <si>
    <t>TR (2): contratos, sistemas_origem</t>
  </si>
  <si>
    <t>Portal_Cliente_Listar_Contratos_Pendente_Assinatura</t>
  </si>
  <si>
    <t>TD (2): contrato_id, confirmação_usuario</t>
  </si>
  <si>
    <t>TR (1): contratos</t>
  </si>
  <si>
    <t>Portal_Cliente_Confirmar_Assinatura</t>
  </si>
  <si>
    <t>Perfil_Sistemas_Origem</t>
  </si>
  <si>
    <t>TD (4): id, perfil_id, sistema_origem_id, created_at</t>
  </si>
  <si>
    <t>AR (2): perfis, sistemas_origem</t>
  </si>
  <si>
    <t>Associar_Perfil_Sistemas_Origem</t>
  </si>
  <si>
    <t>TD (4): user_id, perfil_id, sistema_origem_id, created_at</t>
  </si>
  <si>
    <t>AR (2): perfis, sistemas_origem, user</t>
  </si>
  <si>
    <t>TR (1): pre_faturamentos, pre_faturamento_itens</t>
  </si>
  <si>
    <t>TD (11): id, periodo_cobranca_id, data_geracao, data_aprovacao, aprovado_por, status, total_contratos, total_consumos, valor_total, observacoes, motivo_rejeicao  TD (7): id, pre_faturamento_id, contrato_id, total_consumos, valor_calculado, status_validacao, observacao_divergencia</t>
  </si>
  <si>
    <t>Pre_Faturamento_Sistemas_Origem</t>
  </si>
  <si>
    <t>Suspensão_Integrada_Sistemas_Origem</t>
  </si>
  <si>
    <t xml:space="preserve">Inadimplencia_ConfiguracaoProcessamento_SistemasOrigem </t>
  </si>
  <si>
    <t>Configuracoes_Processamento_Sistemas_Origem</t>
  </si>
  <si>
    <t>TD (5): chave, valor, tipo, descricao, updated_at</t>
  </si>
  <si>
    <t>AR (1): configuracoes_processamento</t>
  </si>
  <si>
    <t>TD (3): inadimplencia_data_default, inadimplencia_usuario, updated_at</t>
  </si>
  <si>
    <t> RLR (1): configuracoes_processamento</t>
  </si>
  <si>
    <t>TD (6): suspensao_data_default, suspensao_usuario, suspensao_proxima_execucao, suspensao_data_alteracao, suspensao_data_inclusao, suspensao_usuario_proxima</t>
  </si>
  <si>
    <t>RLR (1): configuracoes_processamento</t>
  </si>
  <si>
    <t>SSO_GovBR_Sistemas_Origem</t>
  </si>
  <si>
    <t>TD (5): client_id, redirect_uri, scope, state, response_type=code</t>
  </si>
  <si>
    <t>Logar_com_GovBR</t>
  </si>
  <si>
    <t> TD (6): authorization_code, state, access_token, refresh_token, id_token, expires_in</t>
  </si>
  <si>
    <t>RLR (2): configuracoes_processamento, audit_logs</t>
  </si>
  <si>
    <t>Download_PDF_Nota</t>
  </si>
  <si>
    <t>TD (7): numero_nota, data_emissao, status, valor, descricao, nome_razao_social, cpf_cnpj</t>
  </si>
  <si>
    <t>RLR (3): notas_debito, cobrancas, clientes</t>
  </si>
  <si>
    <t>Medição 02 (M02)</t>
  </si>
  <si>
    <t>1-calendario_credenciados</t>
  </si>
  <si>
    <t>1-configuracoes_integracao_db</t>
  </si>
  <si>
    <t>1-execucoes_consolidacao</t>
  </si>
  <si>
    <t>Bilhetagem Portal Credenciados</t>
  </si>
  <si>
    <t>id, classificacao, mes_referencia, ident_portal_delegados, cpf_responsavel, numero_contrato, quantidade, codigo_servico, razao_social, cnpj, historico_requisicao_id, created_at</t>
  </si>
  <si>
    <t>1-Bilhetagem (registros transacionais), 2-Vínculo_Requisição (FK historico)</t>
  </si>
  <si>
    <t>Histórico Requisições Credenciados</t>
  </si>
  <si>
    <t>id, url_json, status, user_id, user_email, metadata, created_at</t>
  </si>
  <si>
    <t>1-Requisições (dados cabeçalho), 2-Metadados (JSONB)</t>
  </si>
  <si>
    <t>Calendário Credenciados</t>
  </si>
  <si>
    <t>id, ano, mes, dia, horario_corte, horario_limite, created_by, created_at, updated_at</t>
  </si>
  <si>
    <t>1-Calendário (datas/horários), 2-Controle_Auditoria</t>
  </si>
  <si>
    <t>Execuções Consolidação Credenciados</t>
  </si>
  <si>
    <t>id, mes_referencia, status, etapa, progresso, total_bilhetagem, total_grupos, total_inseridos, total_erros, valor_total, erros_detalhes, mensagem, iniciado_por, created_at, updated_at</t>
  </si>
  <si>
    <t>1-Execução (cabeçalho), 2-Progresso (etapa/percentual), 3-Totalizadores (grupos/erros/valor), 4-Detalhes_Erros (JSONB)</t>
  </si>
  <si>
    <t>Configurações Integração DB (eCRV)</t>
  </si>
  <si>
    <t>id, nome_integracao, host, port, username, password_encrypted, database_name, status, created_at, updated_at</t>
  </si>
  <si>
    <t>1-Conexão (host/port/user), 2-Credenciais (password criptografado)</t>
  </si>
  <si>
    <t>Convites de Usuário</t>
  </si>
  <si>
    <t>id, email, role, token, status, expires_at, created_by, created_at, updated_at, used_at, used_by</t>
  </si>
  <si>
    <t>1-Convite (dados), 2-Token (segurança), 3-Uso (rastreabilidade)</t>
  </si>
  <si>
    <t>Notas de Débito (Poupatempo)</t>
  </si>
  <si>
    <t>id, contrato_id, cliente_nome, cpf_cnpj, mes_referencia, valor_total, quantidade_transacoes, data_emissao, data_vencimento, status, numero_nota, observacoes, created_at, updated_at</t>
  </si>
  <si>
    <t>1-Nota (cabeçalho), 2-Valores (cálculo), 3-Status_Controle</t>
  </si>
  <si>
    <t>Informes Anuais Pagamento (Poupatempo)</t>
  </si>
  <si>
    <t>id, ano_referencia, cliente_id, cpf_cnpj, nome_cliente, valor_total_ano, total_transacoes, data_geracao, status, url_arquivo, created_at, updated_at</t>
  </si>
  <si>
    <t>1-Informe (dados consolidados anuais), 2-Arquivo (geração PDF)</t>
  </si>
  <si>
    <t>Pré-Faturamento Itens</t>
  </si>
  <si>
    <t>id, periodo_id, contrato_id, cliente_id, sistema_origem_id, servico_id, quantidade, valor_unitario, valor_total, valor_desconto, valor_liquido, status, data_referencia, observacao, aprovado_por, data_aprovacao, created_at, updated_at</t>
  </si>
  <si>
    <t>1-Item (dados base), 2-Valores (cálculo), 3-Desconto (gratuidade), 4-Aprovação (workflow), 5-Vínculo_Período</t>
  </si>
  <si>
    <t>Portal de Delegados — JSON Externo (Credenciados)</t>
  </si>
  <si>
    <t>url_json, classificacao, mes_referencia, ident_portal_delegados, cpf_responsavel, numero_contrato, quantidade, codigo_servico, razao_social, cnpj</t>
  </si>
  <si>
    <t>1-Dados_Bilhetagem (campos transacionais), 2-Identificação_Credenciado</t>
  </si>
  <si>
    <t>ViaCEP (Consulta de Endereço)</t>
  </si>
  <si>
    <t>cep, logradouro, complemento, bairro, localidade, uf, ibge, estado</t>
  </si>
  <si>
    <t>1-Endereço (dados de retorno)</t>
  </si>
  <si>
    <t>API ERP PRODESP (Sincronização de Clientes)</t>
  </si>
  <si>
    <t>razaoSocial, numCpfCnpj, codTipoCliente, desNomeFantasia, numInscEstadual, codIbge, desEndereco, numEndereco, desComplemento, desBairro, numCep, desMunicipio, codUf, numTelefone, desEmail, codFlagIssRetido, codFlagIrrf, codFlagCpcRetido, desAtivEconomica, numCcm, numRgRne, desNacionalidade, codFlagGratuidade, codContribuinteIcms, codRegimeEspecial</t>
  </si>
  <si>
    <t>1-Dados_Empresa, 2-Endereço, 3-Contato, 4-Flags_Fiscais</t>
  </si>
  <si>
    <t>API Receita Federal (Consulta CNPJ)</t>
  </si>
  <si>
    <t>cnpj, razao_social, nome_fantasia, situacao_cadastral, data_abertura, natureza_juridica, porte, capital_social, tipo_logradouro, logradouro, numero, complemento, bairro, cep, municipio</t>
  </si>
  <si>
    <t>1-Dados_Empresa, 2-Endereço, 3-Situação_Cadastral</t>
  </si>
  <si>
    <t>API Sintegra (Consulta IE Estadual)</t>
  </si>
  <si>
    <t>cnpj, ie, razao_social, situacao_cadastral, data_consulta, regime_tributario, uf, municipio, bairro, logradouro, numero, cep</t>
  </si>
  <si>
    <t>1-Dados_Contribuinte, 2-Endereço</t>
  </si>
  <si>
    <t>FEBRABAN 240 (Retorno Bancário)</t>
  </si>
  <si>
    <t>banco, lote, tipo_registro, num_sequencial, cod_segmento, tipo_inscricao, num_inscricao, convenio, agencia, conta, nosso_numero, data_credito, valor_pago, data_ocorrencia, codigo_ocorrencia, motivo_rejeicao, valor_titulo, desconto, juros, multa</t>
  </si>
  <si>
    <t>1-Header_Lote, 2-Detalhe_Segmento_T, 3-Detalhe_Segmento_U</t>
  </si>
  <si>
    <t>Criar Cliente via Modal (Detran)</t>
  </si>
  <si>
    <t>tipo_cliente, cpf_cnpj, nome_razao_social, email, telefone, cpf_responsavel, nome_responsavel, inscricao_estadual, ie_isento, registro_conselho, tipo_entidade_id, ccm_cliente, cod_ciretran, nacionalidade, rg_rne, ativ_economica, flag_iss_retido, flag_irrf, flag_cpc_retido, flag_gratuidade, perfis_esp[], endereco_cobranca (cep, logradouro, numero, complemento, bairro, municipio, uf, codigo_ibge, tel_fixo, tel_movel)</t>
  </si>
  <si>
    <t>1-clientes (INSERT), 2-tipos_entidade (FK validação), 3-ViaCEP (AIE consulta)</t>
  </si>
  <si>
    <t>Criar Cliente Edge Function REST (Detran)</t>
  </si>
  <si>
    <t>cpf_cnpj, nome_razao_social, email, tipo_cliente, telefone, cpf_responsavel, nome_responsavel, inscricao_estadual, ie_isento, registro_conselho, ccm_cliente, cod_ciretran, nacionalidade, rg_rne, ativ_economica, flag_iss_retido, flag_irrf, flag_cpc_retido, flag_gratuidade, perfis_esp[], endereco_cobranca, sistema_origem_default_id</t>
  </si>
  <si>
    <t>1-clientes (INSERT com validação CPF/CNPJ), 2-audit_logs (registro)</t>
  </si>
  <si>
    <t>Receber URL de Bilhetagem Credenciados (Edge Function)</t>
  </si>
  <si>
    <t>url_json, Authorization (JWT), user_id, user_email</t>
  </si>
  <si>
    <t>1-historico_requisicoes_credenciados (INSERT), 2-auth.users (validação JWT)</t>
  </si>
  <si>
    <t>Processar Bilhetagem Credenciados (Edge Function)</t>
  </si>
  <si>
    <t>url_json (fetch externo), parsing JSON → classificacao, mes_referencia, quantidade, cnpj, cpf_responsavel, codigo_servico, ident_portal_delegados, numero_contrato, razao_social</t>
  </si>
  <si>
    <t>1-historico_requisicoes_credenciados (UPDATE status), 2-bilhetagem_portal_credenciados (INSERT batch com deduplicação), 3-JSON_Externo (AIE leitura)</t>
  </si>
  <si>
    <t>CRUD Calendário Credenciados</t>
  </si>
  <si>
    <t>ano, mes, dia, horario_corte, horario_limite, created_by</t>
  </si>
  <si>
    <t>1-calendario_credenciados (INSERT/UPDATE/DELETE)</t>
  </si>
  <si>
    <t>CRUD Configuração Integração DB (eCRV)</t>
  </si>
  <si>
    <t>nome_integracao, host, port, username, password_encrypted, database_name, status</t>
  </si>
  <si>
    <t>1-configuracoes_integracao_db (CRUD)</t>
  </si>
  <si>
    <t>Sincronizar Cliente com ERP (Edge Function)</t>
  </si>
  <si>
    <t>cliente_id + payload ERP (25 campos mapeados) + retorno: integrado_erp, data_integracao_erp, erp_sync_error</t>
  </si>
  <si>
    <t>1-clientes (UPDATE flags integração), 2-API_ERP (AIE envio), 3-audit_logs (registro)</t>
  </si>
  <si>
    <t>Vincular Cliente Existente a Módulo</t>
  </si>
  <si>
    <t>cpf_cnpj (busca), cliente_id, sistema_origem_default_id, ação_vincular</t>
  </si>
  <si>
    <t>1-clientes (UPDATE), 2-clientes (SELECT busca)</t>
  </si>
  <si>
    <t>Consolidar Pré-Faturamento Credenciados (Edge Function)</t>
  </si>
  <si>
    <t>mes_referencia, execucao_id + agrupamento por contrato/serviço</t>
  </si>
  <si>
    <t>1-bilhetagem_portal_credenciados (SELECT agregação), 2-consumos (INSERT lote), 3-contratos (validação FK), 4-execucoes_consolidacao (UPDATE progresso)</t>
  </si>
  <si>
    <t>Notificar Documento Recusado (Edge Function)</t>
  </si>
  <si>
    <t>documento_id + dados derivados: proposta, cliente, tipo_documento, motivo_recusa</t>
  </si>
  <si>
    <t>1-documentos_cliente (SELECT), 2-propostas/clientes (JOIN), 3-notificação (envio)</t>
  </si>
  <si>
    <t>Enviar Convite de Usuário (Edge Function)</t>
  </si>
  <si>
    <t>email, role, created_by + geração: token, expires_at</t>
  </si>
  <si>
    <t>1-convites_usuario (INSERT), 2-auth.users (verificação duplicidade), 3-email (envio SMTP)</t>
  </si>
  <si>
    <t>Gerar Relatório Assíncrono (Edge Function)</t>
  </si>
  <si>
    <t>tipo_relatorio, filtros (periodo, sistema_origem, status), formato_saida, user_id</t>
  </si>
  <si>
    <t>1-relatorios_async (INSERT job), 2-dados_origem (SELECT dinâmico), 3-storage (upload resultado)</t>
  </si>
  <si>
    <t>Gerar Relatório de Faturas (Edge Function)</t>
  </si>
  <si>
    <t>periodo_inicio, periodo_fim, sistema_origem_id, status_filtro, formato + geração com agregações: total_faturado, total_pago, total_pendente, inadimplencia</t>
  </si>
  <si>
    <t>1-cobrancas (agregação), 2-contratos (JOIN), 3-clientes (dados), 4-storage (upload PDF)</t>
  </si>
  <si>
    <t>Gerar Relatório de Auditoria (Edge Function)</t>
  </si>
  <si>
    <t>periodo, entidade, acao, user_id_filtro + geração com formatação de dados</t>
  </si>
  <si>
    <t>1-audit_logs (SELECT filtrado), 2-storage (upload)</t>
  </si>
  <si>
    <t>Dispatch Jobs (Edge Function)</t>
  </si>
  <si>
    <t>job_name, parametros, triggered_by + controle: status, proxima_execucao</t>
  </si>
  <si>
    <t>1-jobs_agendados (UPDATE execução), 2-target_function (invoke)</t>
  </si>
  <si>
    <t>Importar Retorno NF-e</t>
  </si>
  <si>
    <t>file (upload), parsing: numero_rps, numero_nfe, data_processamento, status</t>
  </si>
  <si>
    <t>1-arquivos_importacao (INSERT), 2-rps (UPDATE numero_nfe, status_nf_e)</t>
  </si>
  <si>
    <t>Importar Clientes Saneados (CSV)</t>
  </si>
  <si>
    <t>file (upload CSV), parsing: cpf_cnpj, nome, email, telefone, endereco, tipo_cliente, status + validação e merge</t>
  </si>
  <si>
    <t>1-arquivos_importacao (INSERT), 2-clientes (UPSERT), 3-audit_logs</t>
  </si>
  <si>
    <t>Gerar Remessa Bancária (Exportação)</t>
  </si>
  <si>
    <t>cobranca_ids[], banco_destino + geração FEBRABAN: header, detalhe_P, detalhe_Q, trailer</t>
  </si>
  <si>
    <t>1-cobrancas (SELECT selecionados), 2-clientes (dados sacado), 3-arquivos_exportacao (INSERT)</t>
  </si>
  <si>
    <t>Gerar GL Contábil (Faturamento/Recebimento)</t>
  </si>
  <si>
    <t>tipo (faturamento/recebimento), periodo_mes, periodo_ano + geração: contas contábeis, centros de custo, valores</t>
  </si>
  <si>
    <t>1-cobrancas (agregação), 2-pagamentos (agregação), 3-arquivos_exportacao (INSERT)</t>
  </si>
  <si>
    <t>Exportar Prefeitura ISS (Lote NF-e)</t>
  </si>
  <si>
    <t>periodo, municipio + geração: lote RPS para envio prefeitura</t>
  </si>
  <si>
    <t>1-rps (SELECT pendentes), 2-arquivos_exportacao (INSERT)</t>
  </si>
  <si>
    <t>CRUD Gratuidades Cliente (Detran)</t>
  </si>
  <si>
    <t>contrato_id, tipo_gratuidade, motivo, numero_sei, data_inicio, data_fim, percentual_desconto, qtd_chamados_gratuitos, valor_limite, descricao, status</t>
  </si>
  <si>
    <t>1-gratuidades_cliente (INSERT/UPDATE), 2-contratos (validação FK)</t>
  </si>
  <si>
    <t>CRUD Serviços PRODESP (Detran — ServicoForm)</t>
  </si>
  <si>
    <t>codigo_prodesp, numero_transacao, descricao, valor, data_vigencia_inicial, data_vigencia_final, exibir_no_extrato, cobrar_por_hora_dia, tipo_local, status, sistema_origem_id, valores_por_sistema[] (JSONB)</t>
  </si>
  <si>
    <t>1-servicos_faturaveis (INSERT/UPDATE), 2-sistemas_origem (FK), 3-valores_servico (JSONB)</t>
  </si>
  <si>
    <t>Gerar Pré-Faturamento (Faturamento)</t>
  </si>
  <si>
    <t>periodo_id, sistema_filtro + processamento: consumos → agrupamento → itens pré-faturamento</t>
  </si>
  <si>
    <t>1-periodos_cobranca (validação), 2-consumos (SELECT agrupado), 3-pre_faturamento_itens (INSERT), 4-audit_logs</t>
  </si>
  <si>
    <t>Confirmar/Aprovar Pré-Faturamento</t>
  </si>
  <si>
    <t>pre_faturamento_id, aprovado_por, data_aprovacao, status_novo</t>
  </si>
  <si>
    <t>1-pre_faturamento (UPDATE status), 2-audit_logs</t>
  </si>
  <si>
    <t>Gerar Faturas a partir de Pré-Faturamento</t>
  </si>
  <si>
    <t>pre_faturamento_id + processamento: criação cobrancas, cálculo vencimento, geração número boleto</t>
  </si>
  <si>
    <t>1-pre_faturamento_itens (SELECT), 2-cobrancas (INSERT), 3-periodos_cobranca (vencimento), 4-contratos (FK)</t>
  </si>
  <si>
    <t>Cancelar Fatura (Estorno)</t>
  </si>
  <si>
    <t>cobranca_id, motivo_cancelamento, cancelado_por</t>
  </si>
  <si>
    <t>1-cobrancas (UPDATE cancelado), 2-rps (UPDATE cancelada), 3-audit_logs</t>
  </si>
  <si>
    <t>Integrar Bilhetagem eCNH (Edge Function)</t>
  </si>
  <si>
    <t>Conexão DB2 + SELECT: ident, data_execucao, hora_execucao, trx, cod_cpf, doc_consultado, local_consulta, detalhe_consulta, cod_cfc, cod_ciretran, crm_crp, cod_unid_transit, nome_unid_transit, retorno</t>
  </si>
  <si>
    <t>1-bilhetagem_ecnh (INSERT batch), 2-integracao_ecnh_controle (UPDATE cursor), 3-integracao_ecnh_execucoes (INSERT log)</t>
  </si>
  <si>
    <t>Integrar Bilhetagem eCRV (Edge Function)</t>
  </si>
  <si>
    <t>Conexão DB2 + SELECT: ident, data_execucao, hora_execucao, trx, cpf, doc_consultado, cod_ssp, retorno</t>
  </si>
  <si>
    <t>1-bilhetagem_ecrv (INSERT batch), 2-integracao_ecrv_controle (UPDATE cursor), 3-integracao_ecrv_execucoes (INSERT log)</t>
  </si>
  <si>
    <t>integration_id, action, parameters</t>
  </si>
  <si>
    <t>1-integration_executions (INSERT/UPDATE), 2-target_function (invoke dinâmico)</t>
  </si>
  <si>
    <t>Exportar Dados BI (Edge Function)</t>
  </si>
  <si>
    <t>tipo_exportacao, periodo, formato + agregação de dados multi-tabela</t>
  </si>
  <si>
    <t>1-clientes/contratos/cobrancas (SELECT JOIN), 2-consumos (agregação), 3-storage (upload)</t>
  </si>
  <si>
    <t>Gestão de Propostas — Documentos Obrigatórios/Opcionais</t>
  </si>
  <si>
    <t>selectedDocs (mapa doc_id → {selected, obrigatoriedade}), docs fixos, docs com checkbox</t>
  </si>
  <si>
    <t>1-sistema_origem_documentos_obrigatorios (SELECT), 2-tipos_documentos (SELECT), 3-documentos_cliente (INSERT)</t>
  </si>
  <si>
    <t>Responsividade Tags Documentos Exigidos (Alteração UI)</t>
  </si>
  <si>
    <t>layout flex, truncate, badge shrink-0, overflow-y-auto</t>
  </si>
  <si>
    <t>1-GestaoPropostas (alteração componente)</t>
  </si>
  <si>
    <t>proposta_id + merge fields: nome_cliente, cpf_cnpj, email, endereco, data, numero_contrato, telefone</t>
  </si>
  <si>
    <t>1-propostas (SELECT + JOIN cliente), 2-modelos_contrato (SELECT template), 3-storage (upload PDF)</t>
  </si>
  <si>
    <t>Dashboard Executivo (Gráficos e KPIs)</t>
  </si>
  <si>
    <t>total_clientes, clientes_ativos, total_contratos, contratos_ativos, total_cobrancas, valor_faturado, valor_recebido, taxa_inadimplencia, distribuicao_por_sistema (gráfico pizza), evolucao_mensal (gráfico barras), top_clientes, status_contratos, cobrancas_por_mes, cobrancas_por_status, consumos_por_sistema</t>
  </si>
  <si>
    <t>1-clientes, 2-contratos, 3-cobrancas, 4-sistemas_origem, 5-consumos</t>
  </si>
  <si>
    <t>Processamento e Download Bilhetagem Credenciados (Edge Function)</t>
  </si>
  <si>
    <t>registros processados, total_inseridos, total_duplicados, total_erros, classificacao, mes_referencia, quantidade, cnpj, razao_social, codigo_servico, cpf_responsavel, status_processamento</t>
  </si>
  <si>
    <t>1-historico_requisicoes, 2-bilhetagem_portal, 3-integration_executions</t>
  </si>
  <si>
    <t>Relatório de Consolidação Credenciados</t>
  </si>
  <si>
    <t>mes_referencia, status, etapa, progresso, total_bilhetagem, total_grupos, total_inseridos, total_erros, valor_total, erros_detalhes, mensagem, iniciado_por, created_at, duracao, data_conclusao</t>
  </si>
  <si>
    <t>1-execucoes_consolidacao, 2-profiles</t>
  </si>
  <si>
    <t>Sincronização de Boletos ERP (Tela + Histórico)</t>
  </si>
  <si>
    <t>lote_id, data_sync, total_boletos, status_sync, boletos_enviados, boletos_erro, ultima_sync, historico</t>
  </si>
  <si>
    <t>1-cobrancas, 2-contratos, 3-clientes</t>
  </si>
  <si>
    <t>Relatório Pré-Fechamento (Detran — cards + tabela)</t>
  </si>
  <si>
    <t>total_itens, valor_total, valor_descontos, valor_liquido, por_sistema (breakdown), por_status (aprovado/pendente/rejeitado), por_contrato (detalhamento), periodo_referencia, data_geracao</t>
  </si>
  <si>
    <t>1-pre_faturamento_itens, 2-consumos, 3-contratos, 4-clientes</t>
  </si>
  <si>
    <t>Relatório de Faturas (Faturamento)</t>
  </si>
  <si>
    <t>numero_fatura, cliente, cpf_cnpj, sistema, valor_original, valor_total, data_vencimento, status, numero_boleto, data_pagamento, periodo_referencia, modelo_contrato, contrato_numero</t>
  </si>
  <si>
    <t>1-cobrancas, 2-contratos, 3-clientes, 4-modelos_contrato</t>
  </si>
  <si>
    <t>Extrato Consolidado Detalhado (Consignatários)</t>
  </si>
  <si>
    <t>data_hora, servico_descricao, quantidade, valor_unitario, valor_total, local_atendimento, contrato_numero, cliente_nome, periodo_inicio, periodo_fim, total_geral, quantidade_total</t>
  </si>
  <si>
    <t>1-consumos, 2-servicos_faturaveis, 3-contratos</t>
  </si>
  <si>
    <t>Relatórios Gerais DETRAN (7 tipos)</t>
  </si>
  <si>
    <t>Consolidado: tipo_relatorio, periodo, sistema, dados_agregados (faturas, inadimplência, consumos, cancelamentos, rollbacks, gratuidades, serviços)</t>
  </si>
  <si>
    <t>1-cobrancas, 2-consumos, 3-contratos, 4-clientes</t>
  </si>
  <si>
    <t>Extrato Detalhado DETRAN (PDF)</t>
  </si>
  <si>
    <t>data_hora, tipo_operacao, descricao, valor, saldo_acumulado, contrato, periodo, cliente, cpf_cnpj</t>
  </si>
  <si>
    <t>1-extratos_operacoes, 2-contratos, 3-clientes</t>
  </si>
  <si>
    <t>Geração de Boleto PDF (Cliente Portal)</t>
  </si>
  <si>
    <t>numero_boleto, data_vencimento, valor, sacado_nome, sacado_cpf_cnpj, sacado_endereco, cedente, banco, agencia, conta, codigo_barras, linha_digitavel</t>
  </si>
  <si>
    <t>1-cobrancas (dados boleto), 2-clientes (sacado), 3-configuracao (cedente)</t>
  </si>
  <si>
    <t>Extrato de Operações PDF (Portal Cliente)</t>
  </si>
  <si>
    <t>data_operacao, tipo_operacao, descricao, valor, referencia_id, periodo_inicio, periodo_fim, total</t>
  </si>
  <si>
    <t>1-extratos_operacoes, 2-clientes</t>
  </si>
  <si>
    <t>Extratos em Lote (Exportação)</t>
  </si>
  <si>
    <t>seleção_clientes[], periodo, formato + geração batch de PDFs com dados individuais por contrato</t>
  </si>
  <si>
    <t>1-clientes, 2-contratos, 3-consumos</t>
  </si>
  <si>
    <t>Consulta Bilhetagem Credenciados (Listagem com Filtros)</t>
  </si>
  <si>
    <t>filtro_mes, filtro_classificacao, filtro_cnpj, filtro_contrato + resultado: classificacao, mes_referencia, cnpj, razao_social, codigo_servico, quantidade</t>
  </si>
  <si>
    <t>1-bilhetagem_portal, 2-historico_requisicoes</t>
  </si>
  <si>
    <t>Consulta Calendário Credenciados</t>
  </si>
  <si>
    <t>filtro_ano, filtro_mes + resultado: dia, horario_corte, horario_limite, created_at</t>
  </si>
  <si>
    <t>Consulta Execuções de Consolidação</t>
  </si>
  <si>
    <t>filtro_mes, filtro_status + resultado: id, mes_referencia, status, etapa, progresso, totais, mensagem, created_at</t>
  </si>
  <si>
    <t>Consulta Configuração Integração eCRV</t>
  </si>
  <si>
    <t>resultado: nome_integracao, host, port, database_name, username, status, created_at, updated_at</t>
  </si>
  <si>
    <t>Consulta Clientes para Vinculação (Modal)</t>
  </si>
  <si>
    <t>filtro_cpf_cnpj + resultado: id, cpf_cnpj, nome, email, tipo_cliente, status, sistema_origem</t>
  </si>
  <si>
    <t>1-clientes, 2-sistemas_origem</t>
  </si>
  <si>
    <t>Consulta Histórico Sincronização ERP</t>
  </si>
  <si>
    <t>filtro_periodo, filtro_status + resultado: cliente_nome, cpf_cnpj, status_sync, data_sync, erro</t>
  </si>
  <si>
    <t>1-clientes, 2-audit_logs</t>
  </si>
  <si>
    <t>Consulta Classe/Tipo de Entidade</t>
  </si>
  <si>
    <t>filtro_codigo, filtro_nome + resultado: id, codigo, nome, descricao, exige_registro, conselho, status, qtd_clientes</t>
  </si>
  <si>
    <t>1-tipos_entidade, 2-clientes (contagem)</t>
  </si>
  <si>
    <t>Consulta Pendências do Cliente (Portal)</t>
  </si>
  <si>
    <t>user_id → cliente_id + resultado: propostas_pendentes, docs_pendentes, contratos_aguardando, boletos_vencidos</t>
  </si>
  <si>
    <t>1-propostas, 2-documentos_cliente, 3-contratos, 4-cobrancas</t>
  </si>
  <si>
    <t>Consulta Receita Federal (Edge Function)</t>
  </si>
  <si>
    <t>cnpj_input + resultado: razao_social, nome_fantasia, situacao_cadastral, natureza_juridica, porte, capital_social, endereco, atividade_principal</t>
  </si>
  <si>
    <t>1-API_ReceitaFederal (AIE), 2-audit_logs</t>
  </si>
  <si>
    <t>Consulta Sintegra (Edge Function)</t>
  </si>
  <si>
    <t>cnpj_input, uf + resultado: ie, razao_social, situacao, regime_tributario, endereco</t>
  </si>
  <si>
    <t>1-API_Sintegra (AIE), 2-audit_logs</t>
  </si>
  <si>
    <t>Consulta Bilhetagem eCNH (Listagem com Filtros)</t>
  </si>
  <si>
    <t>filtro_mes, filtro_cpf, filtro_data_inicio, filtro_data_fim + resultado: ident, data_execucao, hora_execucao, trx, cod_cpf, doc_consultado, local_consulta, detalhe_consulta, cod_cfc, retorno</t>
  </si>
  <si>
    <t>1-bilhetagem_ecnh, 2-integracao_ecnh_execucoes</t>
  </si>
  <si>
    <t>Consulta Bilhetagem eCRV (Listagem com Filtros)</t>
  </si>
  <si>
    <t>filtro_mes, filtro_cpf, filtro_data_inicio, filtro_data_fim + resultado: ident, data_execucao, hora_execucao, cpf, doc_consultado, cod_ssp, retorno</t>
  </si>
  <si>
    <t>1-bilhetagem_ecrv, 2-integracao_ecrv_execucoes</t>
  </si>
  <si>
    <t>Consulta Contratos por Módulo (CrudContrato — PPT/Consig/Detran)</t>
  </si>
  <si>
    <t>filtro_cpf_cnpj, filtro_modelo, filtro_status + resultado: numero_contrato, cliente, cpf_cnpj, sistema, modelo, data_assinatura, status, documentos_vinculados</t>
  </si>
  <si>
    <t>1-contratos, 2-clientes, 3-modelos_contrato</t>
  </si>
  <si>
    <t>Consulta Inadimplência (Financeiro)</t>
  </si>
  <si>
    <t>filtro_dias_atraso, filtro_sistema + resultado: cliente, cpf_cnpj, contrato, valor_original, data_vencimento, dias_atraso, valor_juros, valor_multa, valor_total</t>
  </si>
  <si>
    <t>Executar Integrações manualmente (Edge Function)</t>
  </si>
  <si>
    <t>Gerar Contrato PDF (Edge Function)</t>
  </si>
  <si>
    <t>M04-ABR/2026</t>
  </si>
  <si>
    <t>contrato_id, govbr_cpf, nome, sub, hash_documento, ip, user_agent, assinado_em, user_id</t>
  </si>
  <si>
    <t>assinaturas_govbr + contratos</t>
  </si>
  <si>
    <t>code, state, code_verifier, id_token, access_token, hash_doc, contrato_id</t>
  </si>
  <si>
    <t>govbr_pkce_states, assinaturas_govbr, contratos</t>
  </si>
  <si>
    <t>contrato_id, hash_doc, code_challenge, state, redirect_uri</t>
  </si>
  <si>
    <t>govbr_sign_states, contratos</t>
  </si>
  <si>
    <t>kafka_nf_lotes</t>
  </si>
  <si>
    <t>rps_ids[], cnpj, valor, serie, lote_id, callback_url, tentativas, retorno</t>
  </si>
  <si>
    <t>documentos_fiscais, kafka_nf_lotes, erp_retornos</t>
  </si>
  <si>
    <t>cpf_cnpj, razao, endereço, ie, ccm, flags fiscais, responsável, etc.</t>
  </si>
  <si>
    <t>clientes, erp_retornos</t>
  </si>
  <si>
    <t>numero_rps, cnpj, valor, item, descrição, período, condição_pagto, etc.</t>
  </si>
  <si>
    <t>documentos_fiscais, cobrancas</t>
  </si>
  <si>
    <t>nosso_numero, agencia, conta, linha_digitavel, pdf_url</t>
  </si>
  <si>
    <t>erp_retornos (lookup)</t>
  </si>
  <si>
    <t>mes_ref, origem, contrato, cliente, qtd, valores, gratuidade, status, etc.</t>
  </si>
  <si>
    <t>faturamento, faturamento_itens, valores_servico_faturavel</t>
  </si>
  <si>
    <t>bilhetagem_ecnh, bilhetagem_ecrv, faturamento, valores</t>
  </si>
  <si>
    <t>Alteração ALI perfis — unificação "Cliente" + matriz Helpdesk N1</t>
  </si>
  <si>
    <t>nome, descricao, classes_cliente, sistemas_origem, permissões</t>
  </si>
  <si>
    <t>perfis, perfil_permissoes, perfil_classes_cliente</t>
  </si>
  <si>
    <t>Exclusão dos perfis legados "Clientes – Financeiro" e "Suporte"</t>
  </si>
  <si>
    <t>perfil_id, motivo</t>
  </si>
  <si>
    <t>perfil_permissoes, perfil_classes_cliente, perfil_sistemas</t>
  </si>
  <si>
    <t>cnpj, razao, endereco, responsavel, sistema, modulo, validacoes</t>
  </si>
  <si>
    <t>clientes + sistemas_origem</t>
  </si>
  <si>
    <t>contratos + clientes + modelos_contrato</t>
  </si>
  <si>
    <t>cobranca_id, valor_pago, data, motivo, usuario, anexo, status</t>
  </si>
  <si>
    <t>cobrancas + pagamentos</t>
  </si>
  <si>
    <t>id_doc, motivo, usuario, ts, anexo</t>
  </si>
  <si>
    <t>documentos_fiscais + cobrancas</t>
  </si>
  <si>
    <t>total_clientes, ativos, faturamento, inadimplencia, contratos, etc.</t>
  </si>
  <si>
    <t>clientes + cobrancas + faturamento + contratos + propostas</t>
  </si>
  <si>
    <t>qtd_transacoes, valor, top_clientes, gratuidade, periodo, modulo</t>
  </si>
  <si>
    <t>faturamento + clientes + contratos + valores</t>
  </si>
  <si>
    <t>id, cliente, sistema, modelo, vigencia, status, filtros</t>
  </si>
  <si>
    <t>url, payload, hash, cliente_id, status, ts</t>
  </si>
  <si>
    <t>faturamento + clientes</t>
  </si>
  <si>
    <t>API B2B - Dashboard Detran/Poupatempo/Consignatários</t>
  </si>
  <si>
    <t>API B2B - Webhook Credenciados URL JSON</t>
  </si>
  <si>
    <t>Dashboard Executivo</t>
  </si>
  <si>
    <t>Cancelamento Manual (RPS/NF-e/Religação/Divergência) (4 fluxos)</t>
  </si>
  <si>
    <t xml:space="preserve"> Baixa Manual Boleto / Religação / Divergência (3 fluxos)</t>
  </si>
  <si>
    <t>Criar Cliente Detran/Poupatempo/Consignatários (3 edge fns)</t>
  </si>
  <si>
    <t>faturamento unificada + faturamento_itens (multi-origem)</t>
  </si>
  <si>
    <t>consultar-boleto-bb (2ª via Banco do Brasil)</t>
  </si>
  <si>
    <t>Geração automática DPS/RPS no fechamento (numeração + payload fiscal)</t>
  </si>
  <si>
    <t>sync-cliente-erp (XPRO_WS_IFACE_CLIENTES — payload completo)</t>
  </si>
  <si>
    <t>enviar-nf-kafka (proxy REST -&gt; Kafka, lote multi-RPS)</t>
  </si>
  <si>
    <t>govbr-sign-init (geração PKCE + redirect IDP.SP)</t>
  </si>
  <si>
    <t>govbr-callback (troca code -&gt; token, valida nonce/PKCE, persiste assinatura)</t>
  </si>
  <si>
    <t xml:space="preserve">Tabela assinaturas_govbr </t>
  </si>
  <si>
    <t>code, state, code_verifier, id_token, access_token, sub, nivel</t>
  </si>
  <si>
    <t>govbr_pkce_states, profiles, audit_logs</t>
  </si>
  <si>
    <t>code, state, hash_doc, contrato_id, cpf, nome, sub, ip</t>
  </si>
  <si>
    <t>govbr_sign_states, assinaturas_govbr, contratos</t>
  </si>
  <si>
    <t>rps_ids[], cnpj, valor, item, descrição, período, emails, lote_id, callback, etc.</t>
  </si>
  <si>
    <t>documentos_fiscais, kafka_nf_lotes, kafka_nf_lote_documentos, audit_logs</t>
  </si>
  <si>
    <t>erp_request_id, num_nf, serie, chave, xml, pdf, linha_digitável, status</t>
  </si>
  <si>
    <t>erp_retornos, documentos_fiscais, cobrancas</t>
  </si>
  <si>
    <t>cpf_cnpj, razão, endereço, IE, CCM, flags fiscais, responsável, IBGE, etc.</t>
  </si>
  <si>
    <t>docs[], modulo, mes_ref, payload, callback, tentativas</t>
  </si>
  <si>
    <t>documentos_fiscais, erp_retornos, cobrancas</t>
  </si>
  <si>
    <t>numero_rps, cnpj, valor, item, descrição, período, tipo_nota, série</t>
  </si>
  <si>
    <t>nosso_numero, agência, conta, linha_digitavel, pdf_url</t>
  </si>
  <si>
    <t>faturamento_id, tipo_item, código_serviço, descrição, qtd, vl_unit, vl_total</t>
  </si>
  <si>
    <t>faturamento_itens, servicos_faturaveis</t>
  </si>
  <si>
    <t>mes_ref, sistema, registros, cliente_id, contrato_id, vl_unit, classe</t>
  </si>
  <si>
    <t>mes_ref, abas sistema, cliente, contrato, qtd, vl_unit, vl_total, totais</t>
  </si>
  <si>
    <t>faturamento, faturamento_itens, clientes, contratos</t>
  </si>
  <si>
    <t>lote_id, modulo, status, payload_json, retorno_json, tentativas, enviado_em</t>
  </si>
  <si>
    <t>data_ref, cpf, cod_ssp, doc_consultado, retorno, trx, ident</t>
  </si>
  <si>
    <t>bilhetagem_ecrv, integracao_execucoes</t>
  </si>
  <si>
    <t>mes_ref, código_entidade, contrato, grupo, proposta, qtd, sedex</t>
  </si>
  <si>
    <t>bilhetagem_consignatarios, integracao_execucoes</t>
  </si>
  <si>
    <t>requisição_id, classe, CNPJ, código_serviço, qtd, mes_ref</t>
  </si>
  <si>
    <t>bilhetagem_portal_credenciados, historico_requisicoes_credenciados</t>
  </si>
  <si>
    <t>email, role, token_hash, expires_at, redirect_url, criado_por</t>
  </si>
  <si>
    <t>convites_usuario, profiles</t>
  </si>
  <si>
    <t>cpf_cnpj, razão, status, tipo_cliente, perfis_esp, paginação</t>
  </si>
  <si>
    <t>clientes, cliente_tipos_entidade, api_access_logs</t>
  </si>
  <si>
    <t>numero_contrato, status, sistema, cliente, datas, paginação</t>
  </si>
  <si>
    <t>contratos, clientes, api_access_logs</t>
  </si>
  <si>
    <t>api-v1-contratos (CRUD)</t>
  </si>
  <si>
    <t>govbr-callback (login OIDC)</t>
  </si>
  <si>
    <t>govbr-sign-callback (persistência assinatura)</t>
  </si>
  <si>
    <t>assinaturas_govbr</t>
  </si>
  <si>
    <t>enviar-nf-kafka (proxy REST -&gt; Kafka)</t>
  </si>
  <si>
    <t xml:space="preserve"> buscar-retorno-erp (polling NF/boleto)</t>
  </si>
  <si>
    <t>sync-cliente-erp (XPRO_WS_IFACE_CLIENTES)</t>
  </si>
  <si>
    <t>enviar-documentos-erp (assíncrono)</t>
  </si>
  <si>
    <t>Geração automática DPS/RPS no fechamento</t>
  </si>
  <si>
    <t>consultar-boleto-bb (2ª via BB)</t>
  </si>
  <si>
    <t>faturamento unificada (multi-origem)</t>
  </si>
  <si>
    <t>faturamento_itens (detalhados)</t>
  </si>
  <si>
    <t>consolidar-faturamento-detran v2</t>
  </si>
  <si>
    <t>Relatório de Faturamento Excel</t>
  </si>
  <si>
    <t>integrar-bilhetagem-ecrv (REST proxy)</t>
  </si>
  <si>
    <t>integrar-bilhetagem-consignatarios</t>
  </si>
  <si>
    <t>processar-bilhetagem-credenciados (CSV)</t>
  </si>
  <si>
    <t>enviar-convite-usuario (token SHA-256)</t>
  </si>
  <si>
    <t>api-v1-clientes (consulta + filtros)</t>
  </si>
  <si>
    <t>api-v1-contratos (consulta escopo)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</si>
</sst>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* #,##0.00\ ;* \(#,##0.00\);* \-#\ ;@\ "/>
    <numFmt numFmtId="165" formatCode="0.0%"/>
  </numFmts>
  <fonts count="39">
    <font>
      <sz val="10"/>
      <name val="Arial"/>
      <family val="2"/>
    </font>
    <font>
      <b/>
      <sz val="15"/>
      <color indexed="56"/>
      <name val="Calibri"/>
      <family val="2"/>
    </font>
    <font>
      <sz val="10"/>
      <name val="Franklin Gothic Medium"/>
      <family val="2"/>
    </font>
    <font>
      <b/>
      <sz val="12"/>
      <name val="Franklin Gothic Medium"/>
      <family val="2"/>
    </font>
    <font>
      <sz val="9"/>
      <color indexed="12"/>
      <name val="Franklin Gothic Medium"/>
      <family val="2"/>
    </font>
    <font>
      <sz val="9"/>
      <name val="Franklin Gothic Medium"/>
      <family val="2"/>
    </font>
    <font>
      <sz val="8"/>
      <name val="Franklin Gothic Medium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"/>
      <color indexed="63"/>
      <name val="Franklin Gothic Medium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48"/>
      <name val="Arial"/>
      <family val="2"/>
    </font>
    <font>
      <b/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9"/>
      <color indexed="10"/>
      <name val="Geneva"/>
      <family val="2"/>
    </font>
    <font>
      <sz val="8"/>
      <color indexed="9"/>
      <name val="Arial"/>
      <family val="2"/>
    </font>
    <font>
      <vertAlign val="superscript"/>
      <sz val="10"/>
      <name val="Tahoma"/>
      <family val="2"/>
    </font>
    <font>
      <b/>
      <sz val="10"/>
      <color indexed="9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Tahoma"/>
      <family val="2"/>
    </font>
    <font>
      <b/>
      <sz val="11"/>
      <name val="Arial"/>
      <family val="2"/>
    </font>
    <font>
      <b/>
      <sz val="9"/>
      <color indexed="12"/>
      <name val="Franklin Gothic Medium"/>
      <family val="2"/>
    </font>
    <font>
      <sz val="9"/>
      <color theme="0"/>
      <name val="Franklin Gothic Medium"/>
      <family val="2"/>
    </font>
    <font>
      <sz val="10"/>
      <color rgb="FFFF0000"/>
      <name val="Arial"/>
      <family val="2"/>
    </font>
    <font>
      <sz val="9"/>
      <color rgb="FFFF0000"/>
      <name val="Franklin Gothic Medium"/>
      <family val="2"/>
    </font>
    <font>
      <sz val="8"/>
      <color theme="0"/>
      <name val="Franklin Gothic Medium"/>
      <family val="2"/>
    </font>
    <font>
      <b/>
      <sz val="8"/>
      <color theme="0"/>
      <name val="Franklin Gothic Medium"/>
      <family val="2"/>
    </font>
    <font>
      <b/>
      <sz val="12"/>
      <color theme="0"/>
      <name val="Tahoma"/>
      <family val="2"/>
    </font>
    <font>
      <b/>
      <sz val="10"/>
      <color theme="0"/>
      <name val="Arial"/>
      <family val="2"/>
    </font>
    <font>
      <b/>
      <sz val="8"/>
      <name val="Franklin Gothic Medium"/>
      <family val="2"/>
    </font>
    <font>
      <sz val="9"/>
      <color rgb="FF0000FF"/>
      <name val="Franklin Gothic Medium"/>
      <family val="2"/>
    </font>
    <font>
      <sz val="8"/>
      <name val="Arial"/>
      <family val="2"/>
    </font>
    <font>
      <sz val="9"/>
      <color rgb="FF000000"/>
      <name val="Segoe UI"/>
      <family val="2"/>
      <charset val="1"/>
    </font>
    <font>
      <b/>
      <sz val="9"/>
      <color rgb="FF000000"/>
      <name val="Segoe UI"/>
      <family val="2"/>
      <charset val="1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31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indexed="31"/>
      </patternFill>
    </fill>
    <fill>
      <patternFill patternType="solid">
        <fgColor rgb="FFFF0000"/>
        <bgColor indexed="31"/>
      </patternFill>
    </fill>
    <fill>
      <patternFill patternType="solid">
        <fgColor theme="3" tint="0.79998168889431442"/>
        <bgColor indexed="31"/>
      </patternFill>
    </fill>
    <fill>
      <patternFill patternType="solid">
        <fgColor theme="4" tint="-0.249977111117893"/>
        <bgColor indexed="55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theme="6" tint="0.59999389629810485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medium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thin">
        <color indexed="64"/>
      </right>
      <top/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thin">
        <color indexed="8"/>
      </left>
      <right style="medium">
        <color indexed="8"/>
      </right>
      <top/>
      <bottom style="hair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16" fillId="0" borderId="0"/>
    <xf numFmtId="0" fontId="1" fillId="0" borderId="1" applyAlignment="0" applyProtection="0"/>
    <xf numFmtId="164" fontId="10" fillId="0" borderId="0" applyBorder="0" applyAlignment="0" applyProtection="0"/>
  </cellStyleXfs>
  <cellXfs count="220">
    <xf numFmtId="0" fontId="0" fillId="0" borderId="0" xfId="0"/>
    <xf numFmtId="0" fontId="4" fillId="0" borderId="2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2" fontId="5" fillId="0" borderId="0" xfId="0" applyNumberFormat="1" applyFont="1"/>
    <xf numFmtId="0" fontId="5" fillId="0" borderId="1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164" fontId="5" fillId="0" borderId="0" xfId="3" applyFont="1" applyBorder="1" applyAlignment="1" applyProtection="1">
      <alignment horizontal="right"/>
    </xf>
    <xf numFmtId="2" fontId="5" fillId="0" borderId="0" xfId="0" applyNumberFormat="1" applyFont="1" applyAlignment="1">
      <alignment horizontal="center"/>
    </xf>
    <xf numFmtId="2" fontId="5" fillId="0" borderId="8" xfId="0" applyNumberFormat="1" applyFont="1" applyBorder="1"/>
    <xf numFmtId="0" fontId="4" fillId="0" borderId="2" xfId="0" applyFont="1" applyBorder="1" applyAlignment="1">
      <alignment horizontal="left" vertical="center" wrapText="1"/>
    </xf>
    <xf numFmtId="165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4" fontId="5" fillId="2" borderId="2" xfId="3" applyNumberFormat="1" applyFont="1" applyFill="1" applyBorder="1" applyAlignment="1" applyProtection="1">
      <alignment horizontal="center" vertical="center"/>
    </xf>
    <xf numFmtId="4" fontId="5" fillId="2" borderId="13" xfId="3" applyNumberFormat="1" applyFont="1" applyFill="1" applyBorder="1" applyAlignment="1" applyProtection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10" fillId="0" borderId="0" xfId="0" applyFont="1" applyProtection="1">
      <protection locked="0" hidden="1"/>
    </xf>
    <xf numFmtId="0" fontId="12" fillId="0" borderId="0" xfId="0" applyFont="1" applyAlignment="1" applyProtection="1">
      <alignment horizontal="center" vertical="center" wrapText="1" shrinkToFit="1"/>
      <protection locked="0" hidden="1"/>
    </xf>
    <xf numFmtId="0" fontId="13" fillId="0" borderId="0" xfId="0" applyFont="1" applyAlignment="1" applyProtection="1">
      <alignment horizontal="left" vertical="center" wrapText="1"/>
      <protection locked="0" hidden="1"/>
    </xf>
    <xf numFmtId="0" fontId="14" fillId="0" borderId="0" xfId="0" applyFont="1"/>
    <xf numFmtId="0" fontId="14" fillId="0" borderId="16" xfId="0" applyFont="1" applyBorder="1"/>
    <xf numFmtId="0" fontId="15" fillId="0" borderId="16" xfId="0" applyFont="1" applyBorder="1"/>
    <xf numFmtId="0" fontId="14" fillId="0" borderId="17" xfId="0" applyFont="1" applyBorder="1"/>
    <xf numFmtId="0" fontId="14" fillId="0" borderId="18" xfId="0" applyFont="1" applyBorder="1"/>
    <xf numFmtId="0" fontId="14" fillId="0" borderId="19" xfId="0" applyFont="1" applyBorder="1"/>
    <xf numFmtId="0" fontId="14" fillId="0" borderId="20" xfId="0" applyFont="1" applyBorder="1"/>
    <xf numFmtId="2" fontId="14" fillId="0" borderId="0" xfId="0" applyNumberFormat="1" applyFont="1"/>
    <xf numFmtId="0" fontId="15" fillId="0" borderId="21" xfId="0" applyFont="1" applyBorder="1" applyAlignment="1">
      <alignment horizontal="center"/>
    </xf>
    <xf numFmtId="0" fontId="14" fillId="0" borderId="22" xfId="0" applyFont="1" applyBorder="1" applyAlignment="1" applyProtection="1">
      <alignment horizontal="center" vertical="center"/>
      <protection locked="0"/>
    </xf>
    <xf numFmtId="14" fontId="14" fillId="0" borderId="23" xfId="0" applyNumberFormat="1" applyFont="1" applyBorder="1" applyAlignment="1" applyProtection="1">
      <alignment horizontal="center" vertical="center"/>
      <protection locked="0"/>
    </xf>
    <xf numFmtId="0" fontId="14" fillId="0" borderId="24" xfId="0" applyFont="1" applyBorder="1" applyAlignment="1" applyProtection="1">
      <alignment horizontal="center" vertical="center"/>
      <protection locked="0"/>
    </xf>
    <xf numFmtId="0" fontId="14" fillId="0" borderId="25" xfId="0" applyFont="1" applyBorder="1" applyAlignment="1" applyProtection="1">
      <alignment horizontal="center" vertical="center"/>
      <protection locked="0"/>
    </xf>
    <xf numFmtId="0" fontId="14" fillId="0" borderId="26" xfId="0" applyFont="1" applyBorder="1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0" fontId="5" fillId="0" borderId="17" xfId="0" applyFont="1" applyBorder="1" applyProtection="1">
      <protection locked="0"/>
    </xf>
    <xf numFmtId="0" fontId="18" fillId="0" borderId="0" xfId="0" applyFont="1"/>
    <xf numFmtId="2" fontId="10" fillId="3" borderId="27" xfId="1" applyNumberFormat="1" applyFont="1" applyFill="1" applyBorder="1" applyAlignment="1">
      <alignment horizontal="right"/>
    </xf>
    <xf numFmtId="49" fontId="0" fillId="0" borderId="0" xfId="0" applyNumberFormat="1" applyProtection="1">
      <protection locked="0"/>
    </xf>
    <xf numFmtId="0" fontId="14" fillId="0" borderId="28" xfId="0" applyFont="1" applyBorder="1"/>
    <xf numFmtId="49" fontId="0" fillId="0" borderId="17" xfId="0" applyNumberFormat="1" applyBorder="1" applyProtection="1">
      <protection locked="0"/>
    </xf>
    <xf numFmtId="0" fontId="15" fillId="0" borderId="0" xfId="0" applyFont="1"/>
    <xf numFmtId="0" fontId="15" fillId="0" borderId="29" xfId="0" applyFont="1" applyBorder="1"/>
    <xf numFmtId="0" fontId="14" fillId="0" borderId="32" xfId="0" applyFont="1" applyBorder="1" applyAlignment="1" applyProtection="1">
      <alignment vertical="center"/>
      <protection locked="0"/>
    </xf>
    <xf numFmtId="0" fontId="15" fillId="0" borderId="33" xfId="0" applyFont="1" applyBorder="1"/>
    <xf numFmtId="0" fontId="14" fillId="0" borderId="34" xfId="0" applyFont="1" applyBorder="1" applyAlignment="1" applyProtection="1">
      <alignment vertical="center"/>
      <protection locked="0"/>
    </xf>
    <xf numFmtId="0" fontId="14" fillId="0" borderId="35" xfId="0" applyFont="1" applyBorder="1" applyAlignment="1" applyProtection="1">
      <alignment vertical="center"/>
      <protection locked="0"/>
    </xf>
    <xf numFmtId="0" fontId="22" fillId="0" borderId="0" xfId="0" applyFont="1"/>
    <xf numFmtId="0" fontId="14" fillId="0" borderId="0" xfId="0" applyFont="1" applyAlignment="1">
      <alignment horizontal="right"/>
    </xf>
    <xf numFmtId="2" fontId="23" fillId="3" borderId="27" xfId="1" applyNumberFormat="1" applyFont="1" applyFill="1" applyBorder="1" applyAlignment="1">
      <alignment horizontal="right"/>
    </xf>
    <xf numFmtId="2" fontId="26" fillId="3" borderId="27" xfId="1" applyNumberFormat="1" applyFont="1" applyFill="1" applyBorder="1" applyAlignment="1">
      <alignment horizontal="right"/>
    </xf>
    <xf numFmtId="0" fontId="25" fillId="4" borderId="10" xfId="0" applyFont="1" applyFill="1" applyBorder="1" applyAlignment="1">
      <alignment vertical="center"/>
    </xf>
    <xf numFmtId="0" fontId="25" fillId="4" borderId="11" xfId="0" applyFont="1" applyFill="1" applyBorder="1" applyAlignment="1">
      <alignment vertical="center"/>
    </xf>
    <xf numFmtId="0" fontId="25" fillId="4" borderId="36" xfId="0" applyFont="1" applyFill="1" applyBorder="1" applyAlignment="1">
      <alignment vertical="center"/>
    </xf>
    <xf numFmtId="0" fontId="25" fillId="4" borderId="37" xfId="0" applyFont="1" applyFill="1" applyBorder="1" applyAlignment="1">
      <alignment vertical="center"/>
    </xf>
    <xf numFmtId="2" fontId="25" fillId="4" borderId="33" xfId="0" applyNumberFormat="1" applyFont="1" applyFill="1" applyBorder="1" applyAlignment="1">
      <alignment vertical="center"/>
    </xf>
    <xf numFmtId="0" fontId="6" fillId="5" borderId="4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4" fontId="6" fillId="6" borderId="4" xfId="0" applyNumberFormat="1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4" fontId="6" fillId="6" borderId="6" xfId="0" applyNumberFormat="1" applyFont="1" applyFill="1" applyBorder="1" applyAlignment="1">
      <alignment horizontal="center" vertical="center"/>
    </xf>
    <xf numFmtId="2" fontId="25" fillId="4" borderId="29" xfId="0" applyNumberFormat="1" applyFont="1" applyFill="1" applyBorder="1" applyAlignment="1">
      <alignment horizontal="center" vertical="center"/>
    </xf>
    <xf numFmtId="2" fontId="0" fillId="0" borderId="0" xfId="0" applyNumberFormat="1"/>
    <xf numFmtId="2" fontId="25" fillId="4" borderId="36" xfId="0" applyNumberFormat="1" applyFont="1" applyFill="1" applyBorder="1" applyAlignment="1">
      <alignment vertical="center"/>
    </xf>
    <xf numFmtId="0" fontId="6" fillId="0" borderId="38" xfId="0" applyFont="1" applyBorder="1" applyAlignment="1">
      <alignment horizontal="center" vertical="center"/>
    </xf>
    <xf numFmtId="2" fontId="25" fillId="4" borderId="21" xfId="0" applyNumberFormat="1" applyFont="1" applyFill="1" applyBorder="1" applyAlignment="1">
      <alignment vertical="center"/>
    </xf>
    <xf numFmtId="2" fontId="25" fillId="4" borderId="39" xfId="0" applyNumberFormat="1" applyFont="1" applyFill="1" applyBorder="1" applyAlignment="1">
      <alignment vertical="center"/>
    </xf>
    <xf numFmtId="4" fontId="6" fillId="6" borderId="41" xfId="0" applyNumberFormat="1" applyFont="1" applyFill="1" applyBorder="1" applyAlignment="1">
      <alignment horizontal="center" vertical="center"/>
    </xf>
    <xf numFmtId="0" fontId="6" fillId="6" borderId="42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left" vertical="center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left" vertical="center"/>
    </xf>
    <xf numFmtId="0" fontId="4" fillId="0" borderId="45" xfId="0" applyFont="1" applyBorder="1" applyAlignment="1">
      <alignment horizontal="center" vertical="center"/>
    </xf>
    <xf numFmtId="0" fontId="5" fillId="7" borderId="3" xfId="0" applyFont="1" applyFill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165" fontId="27" fillId="0" borderId="2" xfId="0" applyNumberFormat="1" applyFont="1" applyBorder="1" applyAlignment="1">
      <alignment horizontal="center" vertical="center"/>
    </xf>
    <xf numFmtId="2" fontId="27" fillId="0" borderId="2" xfId="0" applyNumberFormat="1" applyFont="1" applyBorder="1" applyAlignment="1">
      <alignment horizontal="center" vertical="center"/>
    </xf>
    <xf numFmtId="4" fontId="27" fillId="2" borderId="2" xfId="3" applyNumberFormat="1" applyFont="1" applyFill="1" applyBorder="1" applyAlignment="1" applyProtection="1">
      <alignment horizontal="center" vertical="center"/>
    </xf>
    <xf numFmtId="4" fontId="27" fillId="2" borderId="13" xfId="3" applyNumberFormat="1" applyFont="1" applyFill="1" applyBorder="1" applyAlignment="1" applyProtection="1">
      <alignment horizontal="center" vertical="center"/>
    </xf>
    <xf numFmtId="0" fontId="27" fillId="0" borderId="2" xfId="0" applyFont="1" applyBorder="1" applyAlignment="1">
      <alignment horizontal="left" vertical="center" wrapText="1"/>
    </xf>
    <xf numFmtId="4" fontId="5" fillId="8" borderId="2" xfId="3" applyNumberFormat="1" applyFont="1" applyFill="1" applyBorder="1" applyAlignment="1" applyProtection="1">
      <alignment horizontal="center" vertical="center"/>
    </xf>
    <xf numFmtId="4" fontId="5" fillId="8" borderId="13" xfId="3" applyNumberFormat="1" applyFont="1" applyFill="1" applyBorder="1" applyAlignment="1" applyProtection="1">
      <alignment horizontal="center" vertical="center"/>
    </xf>
    <xf numFmtId="3" fontId="5" fillId="8" borderId="2" xfId="3" applyNumberFormat="1" applyFont="1" applyFill="1" applyBorder="1" applyAlignment="1" applyProtection="1">
      <alignment horizontal="center"/>
    </xf>
    <xf numFmtId="4" fontId="5" fillId="8" borderId="13" xfId="3" applyNumberFormat="1" applyFont="1" applyFill="1" applyBorder="1" applyAlignment="1" applyProtection="1">
      <alignment horizontal="center"/>
    </xf>
    <xf numFmtId="3" fontId="5" fillId="8" borderId="9" xfId="3" applyNumberFormat="1" applyFont="1" applyFill="1" applyBorder="1" applyAlignment="1" applyProtection="1">
      <alignment horizontal="center"/>
    </xf>
    <xf numFmtId="4" fontId="5" fillId="8" borderId="46" xfId="3" applyNumberFormat="1" applyFont="1" applyFill="1" applyBorder="1" applyAlignment="1" applyProtection="1">
      <alignment horizontal="center"/>
    </xf>
    <xf numFmtId="3" fontId="5" fillId="8" borderId="44" xfId="3" applyNumberFormat="1" applyFont="1" applyFill="1" applyBorder="1" applyAlignment="1" applyProtection="1">
      <alignment horizontal="center"/>
    </xf>
    <xf numFmtId="4" fontId="5" fillId="8" borderId="47" xfId="3" applyNumberFormat="1" applyFont="1" applyFill="1" applyBorder="1" applyAlignment="1" applyProtection="1">
      <alignment horizontal="center"/>
    </xf>
    <xf numFmtId="4" fontId="5" fillId="8" borderId="48" xfId="3" applyNumberFormat="1" applyFont="1" applyFill="1" applyBorder="1" applyAlignment="1" applyProtection="1">
      <alignment horizontal="center"/>
    </xf>
    <xf numFmtId="3" fontId="5" fillId="8" borderId="45" xfId="3" applyNumberFormat="1" applyFont="1" applyFill="1" applyBorder="1" applyAlignment="1" applyProtection="1">
      <alignment horizontal="center"/>
    </xf>
    <xf numFmtId="4" fontId="5" fillId="8" borderId="49" xfId="3" applyNumberFormat="1" applyFont="1" applyFill="1" applyBorder="1" applyAlignment="1" applyProtection="1">
      <alignment horizontal="center"/>
    </xf>
    <xf numFmtId="0" fontId="4" fillId="8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left" vertical="center"/>
    </xf>
    <xf numFmtId="0" fontId="9" fillId="8" borderId="3" xfId="0" applyFont="1" applyFill="1" applyBorder="1" applyAlignment="1">
      <alignment horizontal="left" vertical="center"/>
    </xf>
    <xf numFmtId="0" fontId="9" fillId="8" borderId="50" xfId="0" applyFont="1" applyFill="1" applyBorder="1" applyAlignment="1">
      <alignment horizontal="left" vertical="center"/>
    </xf>
    <xf numFmtId="0" fontId="9" fillId="8" borderId="51" xfId="0" applyFont="1" applyFill="1" applyBorder="1" applyAlignment="1">
      <alignment horizontal="left" vertical="center"/>
    </xf>
    <xf numFmtId="0" fontId="9" fillId="8" borderId="52" xfId="0" applyFont="1" applyFill="1" applyBorder="1" applyAlignment="1">
      <alignment horizontal="left" vertical="center"/>
    </xf>
    <xf numFmtId="0" fontId="9" fillId="8" borderId="53" xfId="0" applyFont="1" applyFill="1" applyBorder="1" applyAlignment="1">
      <alignment horizontal="left" vertical="center"/>
    </xf>
    <xf numFmtId="0" fontId="9" fillId="8" borderId="54" xfId="0" applyFont="1" applyFill="1" applyBorder="1" applyAlignment="1">
      <alignment horizontal="center"/>
    </xf>
    <xf numFmtId="3" fontId="5" fillId="8" borderId="43" xfId="3" applyNumberFormat="1" applyFont="1" applyFill="1" applyBorder="1" applyAlignment="1" applyProtection="1">
      <alignment horizontal="center"/>
    </xf>
    <xf numFmtId="4" fontId="5" fillId="8" borderId="55" xfId="3" applyNumberFormat="1" applyFont="1" applyFill="1" applyBorder="1" applyAlignment="1" applyProtection="1">
      <alignment horizontal="center"/>
    </xf>
    <xf numFmtId="3" fontId="5" fillId="8" borderId="7" xfId="3" applyNumberFormat="1" applyFont="1" applyFill="1" applyBorder="1" applyAlignment="1" applyProtection="1">
      <alignment horizontal="center"/>
    </xf>
    <xf numFmtId="4" fontId="5" fillId="8" borderId="56" xfId="3" applyNumberFormat="1" applyFont="1" applyFill="1" applyBorder="1" applyAlignment="1" applyProtection="1">
      <alignment horizontal="center"/>
    </xf>
    <xf numFmtId="0" fontId="28" fillId="9" borderId="57" xfId="0" applyFont="1" applyFill="1" applyBorder="1" applyAlignment="1">
      <alignment horizontal="left" vertical="center"/>
    </xf>
    <xf numFmtId="0" fontId="6" fillId="0" borderId="58" xfId="0" applyFont="1" applyBorder="1" applyAlignment="1">
      <alignment horizontal="left" vertical="center" wrapText="1"/>
    </xf>
    <xf numFmtId="0" fontId="6" fillId="0" borderId="59" xfId="0" applyFont="1" applyBorder="1" applyAlignment="1">
      <alignment horizontal="left" vertical="center" wrapText="1"/>
    </xf>
    <xf numFmtId="4" fontId="6" fillId="6" borderId="40" xfId="0" applyNumberFormat="1" applyFont="1" applyFill="1" applyBorder="1" applyAlignment="1">
      <alignment horizontal="center" vertical="center"/>
    </xf>
    <xf numFmtId="9" fontId="6" fillId="6" borderId="41" xfId="0" applyNumberFormat="1" applyFont="1" applyFill="1" applyBorder="1" applyAlignment="1">
      <alignment horizontal="center" vertical="center"/>
    </xf>
    <xf numFmtId="0" fontId="28" fillId="9" borderId="60" xfId="0" applyFont="1" applyFill="1" applyBorder="1" applyAlignment="1">
      <alignment horizontal="left" vertical="center" wrapText="1"/>
    </xf>
    <xf numFmtId="0" fontId="25" fillId="4" borderId="10" xfId="0" applyFont="1" applyFill="1" applyBorder="1" applyAlignment="1">
      <alignment horizontal="left" vertical="center"/>
    </xf>
    <xf numFmtId="0" fontId="6" fillId="0" borderId="38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28" fillId="9" borderId="33" xfId="0" applyFont="1" applyFill="1" applyBorder="1" applyAlignment="1">
      <alignment horizontal="left" vertical="center" wrapText="1"/>
    </xf>
    <xf numFmtId="0" fontId="28" fillId="9" borderId="61" xfId="0" applyFont="1" applyFill="1" applyBorder="1" applyAlignment="1">
      <alignment horizontal="left" vertical="center"/>
    </xf>
    <xf numFmtId="0" fontId="28" fillId="9" borderId="62" xfId="0" applyFont="1" applyFill="1" applyBorder="1" applyAlignment="1">
      <alignment horizontal="left" vertical="center"/>
    </xf>
    <xf numFmtId="0" fontId="28" fillId="9" borderId="63" xfId="0" applyFont="1" applyFill="1" applyBorder="1" applyAlignment="1">
      <alignment horizontal="center" vertical="center"/>
    </xf>
    <xf numFmtId="0" fontId="29" fillId="9" borderId="64" xfId="0" applyFont="1" applyFill="1" applyBorder="1" applyAlignment="1">
      <alignment horizontal="center" vertical="center"/>
    </xf>
    <xf numFmtId="0" fontId="29" fillId="9" borderId="63" xfId="0" applyFont="1" applyFill="1" applyBorder="1" applyAlignment="1">
      <alignment horizontal="center" vertical="center"/>
    </xf>
    <xf numFmtId="0" fontId="28" fillId="9" borderId="65" xfId="0" applyFont="1" applyFill="1" applyBorder="1" applyAlignment="1">
      <alignment horizontal="center" vertical="center"/>
    </xf>
    <xf numFmtId="0" fontId="28" fillId="9" borderId="18" xfId="0" applyFont="1" applyFill="1" applyBorder="1" applyAlignment="1">
      <alignment horizontal="center" vertical="center" wrapText="1"/>
    </xf>
    <xf numFmtId="0" fontId="28" fillId="9" borderId="66" xfId="0" applyFont="1" applyFill="1" applyBorder="1" applyAlignment="1">
      <alignment horizontal="center" vertical="center" wrapText="1"/>
    </xf>
    <xf numFmtId="0" fontId="28" fillId="9" borderId="67" xfId="0" applyFont="1" applyFill="1" applyBorder="1" applyAlignment="1">
      <alignment horizontal="center" vertical="center" wrapText="1"/>
    </xf>
    <xf numFmtId="2" fontId="28" fillId="9" borderId="68" xfId="0" applyNumberFormat="1" applyFont="1" applyFill="1" applyBorder="1" applyAlignment="1">
      <alignment horizontal="center" vertical="center" wrapText="1"/>
    </xf>
    <xf numFmtId="0" fontId="28" fillId="9" borderId="69" xfId="0" applyFont="1" applyFill="1" applyBorder="1" applyAlignment="1">
      <alignment horizontal="center" vertical="center"/>
    </xf>
    <xf numFmtId="0" fontId="28" fillId="9" borderId="70" xfId="0" applyFont="1" applyFill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8" borderId="0" xfId="0" applyFont="1" applyFill="1" applyAlignment="1">
      <alignment horizontal="center" vertical="center" wrapText="1"/>
    </xf>
    <xf numFmtId="4" fontId="27" fillId="2" borderId="0" xfId="3" applyNumberFormat="1" applyFont="1" applyFill="1" applyBorder="1" applyAlignment="1" applyProtection="1">
      <alignment horizontal="center" vertical="center"/>
    </xf>
    <xf numFmtId="4" fontId="5" fillId="2" borderId="0" xfId="3" applyNumberFormat="1" applyFont="1" applyFill="1" applyBorder="1" applyAlignment="1" applyProtection="1">
      <alignment horizontal="center" vertical="center"/>
    </xf>
    <xf numFmtId="4" fontId="5" fillId="8" borderId="0" xfId="3" applyNumberFormat="1" applyFont="1" applyFill="1" applyBorder="1" applyAlignment="1" applyProtection="1">
      <alignment horizontal="center"/>
    </xf>
    <xf numFmtId="4" fontId="0" fillId="0" borderId="0" xfId="0" applyNumberFormat="1"/>
    <xf numFmtId="49" fontId="0" fillId="0" borderId="33" xfId="0" applyNumberFormat="1" applyBorder="1" applyProtection="1">
      <protection locked="0"/>
    </xf>
    <xf numFmtId="0" fontId="32" fillId="11" borderId="38" xfId="0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14" fillId="0" borderId="30" xfId="0" applyFont="1" applyBorder="1" applyAlignment="1" applyProtection="1">
      <alignment vertical="center" wrapText="1"/>
      <protection locked="0"/>
    </xf>
    <xf numFmtId="0" fontId="14" fillId="0" borderId="31" xfId="0" applyFont="1" applyBorder="1" applyAlignment="1" applyProtection="1">
      <alignment horizontal="left" vertical="top" wrapText="1"/>
      <protection locked="0"/>
    </xf>
    <xf numFmtId="0" fontId="14" fillId="0" borderId="31" xfId="0" applyFont="1" applyBorder="1" applyAlignment="1" applyProtection="1">
      <alignment vertical="center" wrapText="1"/>
      <protection locked="0"/>
    </xf>
    <xf numFmtId="0" fontId="6" fillId="0" borderId="77" xfId="0" applyFont="1" applyBorder="1" applyAlignment="1">
      <alignment horizontal="left" vertical="center"/>
    </xf>
    <xf numFmtId="0" fontId="6" fillId="0" borderId="78" xfId="0" applyFont="1" applyBorder="1" applyAlignment="1">
      <alignment horizontal="center" vertical="center"/>
    </xf>
    <xf numFmtId="0" fontId="6" fillId="0" borderId="79" xfId="0" applyFont="1" applyBorder="1" applyAlignment="1">
      <alignment horizontal="center" vertical="center"/>
    </xf>
    <xf numFmtId="0" fontId="6" fillId="0" borderId="77" xfId="0" applyFont="1" applyBorder="1" applyAlignment="1">
      <alignment horizontal="center" vertical="center"/>
    </xf>
    <xf numFmtId="0" fontId="6" fillId="0" borderId="77" xfId="0" applyFont="1" applyBorder="1" applyAlignment="1">
      <alignment horizontal="left" vertical="center" wrapText="1"/>
    </xf>
    <xf numFmtId="0" fontId="32" fillId="0" borderId="77" xfId="0" applyFont="1" applyBorder="1" applyAlignment="1">
      <alignment horizontal="left" vertical="center"/>
    </xf>
    <xf numFmtId="0" fontId="0" fillId="0" borderId="31" xfId="0" applyBorder="1" applyAlignment="1">
      <alignment horizontal="center"/>
    </xf>
    <xf numFmtId="0" fontId="32" fillId="12" borderId="77" xfId="0" applyFont="1" applyFill="1" applyBorder="1" applyAlignment="1">
      <alignment horizontal="left" vertical="center" wrapText="1"/>
    </xf>
    <xf numFmtId="0" fontId="28" fillId="9" borderId="60" xfId="0" applyFont="1" applyFill="1" applyBorder="1" applyAlignment="1">
      <alignment horizontal="left" vertical="center"/>
    </xf>
    <xf numFmtId="0" fontId="0" fillId="0" borderId="80" xfId="0" applyBorder="1" applyAlignment="1" applyProtection="1">
      <alignment horizontal="left"/>
      <protection locked="0"/>
    </xf>
    <xf numFmtId="0" fontId="0" fillId="13" borderId="80" xfId="0" applyFill="1" applyBorder="1" applyAlignment="1" applyProtection="1">
      <alignment horizontal="left"/>
      <protection locked="0"/>
    </xf>
    <xf numFmtId="0" fontId="0" fillId="0" borderId="77" xfId="0" applyBorder="1" applyAlignment="1">
      <alignment horizontal="left" vertical="center"/>
    </xf>
    <xf numFmtId="0" fontId="0" fillId="0" borderId="78" xfId="0" applyBorder="1" applyAlignment="1">
      <alignment horizontal="center" vertical="center"/>
    </xf>
    <xf numFmtId="0" fontId="0" fillId="0" borderId="77" xfId="0" applyBorder="1" applyAlignment="1">
      <alignment horizontal="left" vertical="center" wrapText="1"/>
    </xf>
    <xf numFmtId="0" fontId="13" fillId="0" borderId="77" xfId="0" applyFont="1" applyBorder="1" applyAlignment="1">
      <alignment horizontal="left" vertical="center" wrapText="1"/>
    </xf>
    <xf numFmtId="0" fontId="0" fillId="0" borderId="79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14" fontId="14" fillId="0" borderId="39" xfId="0" applyNumberFormat="1" applyFont="1" applyBorder="1" applyAlignment="1" applyProtection="1">
      <alignment horizontal="left" vertical="center" wrapText="1"/>
      <protection locked="0"/>
    </xf>
    <xf numFmtId="14" fontId="14" fillId="0" borderId="73" xfId="0" applyNumberFormat="1" applyFont="1" applyBorder="1" applyAlignment="1" applyProtection="1">
      <alignment horizontal="left" vertical="center"/>
      <protection locked="0"/>
    </xf>
    <xf numFmtId="14" fontId="14" fillId="0" borderId="75" xfId="0" applyNumberFormat="1" applyFont="1" applyBorder="1" applyAlignment="1" applyProtection="1">
      <alignment horizontal="left" vertical="center"/>
      <protection locked="0"/>
    </xf>
    <xf numFmtId="14" fontId="14" fillId="0" borderId="16" xfId="0" applyNumberFormat="1" applyFont="1" applyBorder="1" applyAlignment="1" applyProtection="1">
      <alignment horizontal="left" vertical="center"/>
      <protection locked="0"/>
    </xf>
    <xf numFmtId="14" fontId="14" fillId="0" borderId="0" xfId="0" applyNumberFormat="1" applyFont="1" applyAlignment="1" applyProtection="1">
      <alignment horizontal="left" vertical="center"/>
      <protection locked="0"/>
    </xf>
    <xf numFmtId="14" fontId="14" fillId="0" borderId="76" xfId="0" applyNumberFormat="1" applyFont="1" applyBorder="1" applyAlignment="1" applyProtection="1">
      <alignment horizontal="left" vertical="center"/>
      <protection locked="0"/>
    </xf>
    <xf numFmtId="0" fontId="30" fillId="10" borderId="29" xfId="0" applyFont="1" applyFill="1" applyBorder="1" applyAlignment="1">
      <alignment horizontal="center" vertical="center"/>
    </xf>
    <xf numFmtId="0" fontId="30" fillId="10" borderId="72" xfId="0" applyFont="1" applyFill="1" applyBorder="1" applyAlignment="1">
      <alignment horizontal="center" vertical="center"/>
    </xf>
    <xf numFmtId="0" fontId="30" fillId="10" borderId="71" xfId="0" applyFont="1" applyFill="1" applyBorder="1" applyAlignment="1">
      <alignment horizontal="center" vertical="center"/>
    </xf>
    <xf numFmtId="0" fontId="31" fillId="10" borderId="29" xfId="1" applyFont="1" applyFill="1" applyBorder="1" applyAlignment="1">
      <alignment horizontal="left" wrapText="1"/>
    </xf>
    <xf numFmtId="0" fontId="31" fillId="10" borderId="72" xfId="1" applyFont="1" applyFill="1" applyBorder="1" applyAlignment="1">
      <alignment horizontal="left" wrapText="1"/>
    </xf>
    <xf numFmtId="0" fontId="19" fillId="10" borderId="29" xfId="1" applyFont="1" applyFill="1" applyBorder="1" applyAlignment="1">
      <alignment horizontal="left" wrapText="1"/>
    </xf>
    <xf numFmtId="0" fontId="10" fillId="0" borderId="33" xfId="0" applyFont="1" applyBorder="1" applyAlignment="1">
      <alignment horizontal="center"/>
    </xf>
    <xf numFmtId="0" fontId="11" fillId="0" borderId="29" xfId="0" applyFont="1" applyBorder="1" applyAlignment="1">
      <alignment horizontal="center" vertical="center" wrapText="1" shrinkToFit="1"/>
    </xf>
    <xf numFmtId="0" fontId="11" fillId="0" borderId="71" xfId="0" applyFont="1" applyBorder="1" applyAlignment="1">
      <alignment horizontal="center" vertical="center" wrapText="1" shrinkToFit="1"/>
    </xf>
    <xf numFmtId="0" fontId="31" fillId="10" borderId="33" xfId="1" applyFont="1" applyFill="1" applyBorder="1" applyAlignment="1">
      <alignment horizontal="left" wrapText="1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5" fillId="4" borderId="0" xfId="0" applyFont="1" applyFill="1" applyAlignment="1">
      <alignment horizontal="left" vertical="center"/>
    </xf>
    <xf numFmtId="2" fontId="25" fillId="4" borderId="0" xfId="0" applyNumberFormat="1" applyFont="1" applyFill="1" applyAlignment="1">
      <alignment horizontal="left" vertical="center"/>
    </xf>
    <xf numFmtId="2" fontId="25" fillId="4" borderId="39" xfId="0" applyNumberFormat="1" applyFont="1" applyFill="1" applyBorder="1" applyAlignment="1">
      <alignment horizontal="center" vertical="center"/>
    </xf>
    <xf numFmtId="2" fontId="25" fillId="4" borderId="73" xfId="0" applyNumberFormat="1" applyFont="1" applyFill="1" applyBorder="1" applyAlignment="1">
      <alignment horizontal="center" vertical="center"/>
    </xf>
    <xf numFmtId="2" fontId="25" fillId="4" borderId="28" xfId="0" applyNumberFormat="1" applyFont="1" applyFill="1" applyBorder="1" applyAlignment="1">
      <alignment horizontal="center" vertical="center"/>
    </xf>
    <xf numFmtId="2" fontId="25" fillId="4" borderId="18" xfId="0" applyNumberFormat="1" applyFont="1" applyFill="1" applyBorder="1" applyAlignment="1">
      <alignment horizontal="center" vertical="center"/>
    </xf>
    <xf numFmtId="2" fontId="25" fillId="4" borderId="19" xfId="0" applyNumberFormat="1" applyFont="1" applyFill="1" applyBorder="1" applyAlignment="1">
      <alignment horizontal="center" vertical="center"/>
    </xf>
    <xf numFmtId="2" fontId="25" fillId="4" borderId="20" xfId="0" applyNumberFormat="1" applyFont="1" applyFill="1" applyBorder="1" applyAlignment="1">
      <alignment horizontal="center" vertical="center"/>
    </xf>
    <xf numFmtId="0" fontId="25" fillId="4" borderId="33" xfId="0" applyFont="1" applyFill="1" applyBorder="1" applyAlignment="1">
      <alignment horizontal="left" vertical="center"/>
    </xf>
    <xf numFmtId="0" fontId="4" fillId="8" borderId="1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9" fillId="0" borderId="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2" fontId="9" fillId="0" borderId="7" xfId="0" applyNumberFormat="1" applyFont="1" applyBorder="1" applyAlignment="1">
      <alignment horizontal="center" vertical="center"/>
    </xf>
    <xf numFmtId="0" fontId="24" fillId="0" borderId="43" xfId="0" applyFont="1" applyBorder="1" applyAlignment="1">
      <alignment horizontal="left" vertical="center"/>
    </xf>
    <xf numFmtId="0" fontId="4" fillId="0" borderId="43" xfId="0" applyFont="1" applyBorder="1" applyAlignment="1">
      <alignment horizontal="left" vertical="center"/>
    </xf>
    <xf numFmtId="2" fontId="9" fillId="0" borderId="43" xfId="0" applyNumberFormat="1" applyFont="1" applyBorder="1" applyAlignment="1">
      <alignment horizontal="center" vertical="center"/>
    </xf>
    <xf numFmtId="0" fontId="4" fillId="0" borderId="45" xfId="0" applyFont="1" applyBorder="1" applyAlignment="1">
      <alignment horizontal="left" vertical="center"/>
    </xf>
    <xf numFmtId="2" fontId="9" fillId="0" borderId="45" xfId="0" applyNumberFormat="1" applyFont="1" applyBorder="1" applyAlignment="1">
      <alignment horizontal="center" vertical="center"/>
    </xf>
    <xf numFmtId="0" fontId="4" fillId="0" borderId="44" xfId="0" applyFont="1" applyBorder="1" applyAlignment="1">
      <alignment horizontal="left" vertical="center"/>
    </xf>
    <xf numFmtId="2" fontId="9" fillId="0" borderId="44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2" fontId="9" fillId="0" borderId="9" xfId="0" applyNumberFormat="1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0" fontId="4" fillId="8" borderId="3" xfId="0" applyFont="1" applyFill="1" applyBorder="1" applyAlignment="1">
      <alignment horizontal="center" vertical="center" wrapText="1"/>
    </xf>
    <xf numFmtId="0" fontId="3" fillId="0" borderId="7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</cellXfs>
  <cellStyles count="4">
    <cellStyle name="Normal" xfId="0" builtinId="0"/>
    <cellStyle name="Normal_Informações" xfId="1" xr:uid="{20B65FB5-A1CE-4DB4-BA6E-E9283FDD92CE}"/>
    <cellStyle name="TableStyleLight1" xfId="2" xr:uid="{8B6E680C-B8DC-4BAC-9293-CD97637FF1EF}"/>
    <cellStyle name="Vírgula" xfId="3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C0504D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F81BD"/>
      <rgbColor rgb="004BACC6"/>
      <rgbColor rgb="009BBB59"/>
      <rgbColor rgb="00FFCC00"/>
      <rgbColor rgb="00FF9900"/>
      <rgbColor rgb="00FF6600"/>
      <rgbColor rgb="008064A2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1</xdr:row>
      <xdr:rowOff>201706</xdr:rowOff>
    </xdr:from>
    <xdr:to>
      <xdr:col>2</xdr:col>
      <xdr:colOff>844731</xdr:colOff>
      <xdr:row>1</xdr:row>
      <xdr:rowOff>525967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409858D-5919-4181-A537-A924C8A58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54088" y="358588"/>
          <a:ext cx="1478611" cy="3033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1</xdr:col>
      <xdr:colOff>154636</xdr:colOff>
      <xdr:row>2</xdr:row>
      <xdr:rowOff>69047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148DF0E-67F8-4EC5-800B-0C86FDF45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85725"/>
          <a:ext cx="1478611" cy="3033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0584-4785-4344-B078-19FF359776D7}">
  <dimension ref="B2:I52"/>
  <sheetViews>
    <sheetView showGridLines="0" zoomScale="138" zoomScaleNormal="85" workbookViewId="0">
      <selection activeCell="B35" sqref="B35"/>
    </sheetView>
  </sheetViews>
  <sheetFormatPr defaultColWidth="9.109375" defaultRowHeight="13.2"/>
  <cols>
    <col min="1" max="1" width="31.109375" style="30" customWidth="1"/>
    <col min="2" max="2" width="15.109375" style="30" customWidth="1"/>
    <col min="3" max="3" width="20.44140625" style="30" customWidth="1"/>
    <col min="4" max="4" width="35" style="30" customWidth="1"/>
    <col min="5" max="5" width="38.44140625" style="30" customWidth="1"/>
    <col min="6" max="16384" width="9.109375" style="30"/>
  </cols>
  <sheetData>
    <row r="2" spans="2:9" s="27" customFormat="1" ht="51" customHeight="1">
      <c r="B2" s="182"/>
      <c r="C2" s="182"/>
      <c r="D2" s="183" t="s">
        <v>0</v>
      </c>
      <c r="E2" s="184"/>
      <c r="F2" s="28"/>
      <c r="G2" s="29"/>
    </row>
    <row r="3" spans="2:9">
      <c r="B3" s="57"/>
      <c r="C3" s="57"/>
      <c r="D3" s="58"/>
      <c r="E3" s="57" t="s">
        <v>1</v>
      </c>
    </row>
    <row r="4" spans="2:9" ht="15">
      <c r="B4" s="176" t="s">
        <v>2</v>
      </c>
      <c r="C4" s="177"/>
      <c r="D4" s="177"/>
      <c r="E4" s="178"/>
    </row>
    <row r="5" spans="2:9">
      <c r="B5" s="31"/>
      <c r="E5" s="49"/>
    </row>
    <row r="6" spans="2:9">
      <c r="B6" s="32"/>
      <c r="C6" s="51" t="s">
        <v>3</v>
      </c>
      <c r="D6" s="147" t="s">
        <v>209</v>
      </c>
      <c r="E6" s="50"/>
    </row>
    <row r="7" spans="2:9">
      <c r="B7" s="32"/>
      <c r="C7" s="51"/>
      <c r="D7" s="48"/>
      <c r="E7" s="50"/>
    </row>
    <row r="8" spans="2:9">
      <c r="B8" s="32"/>
      <c r="C8" s="51" t="s">
        <v>4</v>
      </c>
      <c r="D8" s="147" t="s">
        <v>210</v>
      </c>
      <c r="E8" s="50"/>
    </row>
    <row r="9" spans="2:9">
      <c r="B9" s="32"/>
      <c r="C9" s="51"/>
      <c r="D9" s="48"/>
      <c r="E9" s="50"/>
    </row>
    <row r="10" spans="2:9">
      <c r="B10" s="32"/>
      <c r="C10" s="51" t="s">
        <v>5</v>
      </c>
      <c r="D10" s="147" t="s">
        <v>6</v>
      </c>
      <c r="E10" s="50"/>
    </row>
    <row r="11" spans="2:9">
      <c r="B11" s="32"/>
      <c r="C11" s="51"/>
      <c r="E11" s="33"/>
    </row>
    <row r="12" spans="2:9" ht="13.8">
      <c r="B12" s="32"/>
      <c r="C12" s="51" t="s">
        <v>7</v>
      </c>
      <c r="D12" s="147" t="s">
        <v>206</v>
      </c>
      <c r="E12" s="45"/>
      <c r="F12" s="44"/>
      <c r="G12" s="44"/>
      <c r="H12" s="44"/>
      <c r="I12" s="44"/>
    </row>
    <row r="13" spans="2:9">
      <c r="B13" s="32"/>
      <c r="C13" s="51"/>
      <c r="E13" s="33"/>
    </row>
    <row r="14" spans="2:9">
      <c r="B14" s="32"/>
      <c r="C14" s="51" t="s">
        <v>8</v>
      </c>
      <c r="D14" s="147" t="s">
        <v>9</v>
      </c>
      <c r="E14" s="33"/>
    </row>
    <row r="15" spans="2:9">
      <c r="B15" s="34"/>
      <c r="C15" s="35"/>
      <c r="D15" s="35"/>
      <c r="E15" s="36"/>
    </row>
    <row r="16" spans="2:9" ht="15">
      <c r="B16" s="176" t="s">
        <v>10</v>
      </c>
      <c r="C16" s="177"/>
      <c r="D16" s="177"/>
      <c r="E16" s="178"/>
      <c r="H16" s="37"/>
    </row>
    <row r="17" spans="2:5" ht="12.75" customHeight="1">
      <c r="B17" s="185" t="s">
        <v>11</v>
      </c>
      <c r="C17" s="185"/>
      <c r="D17" s="179" t="s">
        <v>12</v>
      </c>
      <c r="E17" s="47">
        <f>SUM('Deflatores Sisp'!$J$4:$J$38)</f>
        <v>481</v>
      </c>
    </row>
    <row r="18" spans="2:5" ht="12.75" customHeight="1">
      <c r="B18" s="179" t="s">
        <v>13</v>
      </c>
      <c r="C18" s="180"/>
      <c r="D18" s="180"/>
      <c r="E18" s="47">
        <f>SUMIF('Deflatores Sisp'!$M$4:$M$38,"CORRETIVA",'Deflatores Sisp'!$K$4:$K$38)</f>
        <v>0</v>
      </c>
    </row>
    <row r="19" spans="2:5" ht="12.75" customHeight="1">
      <c r="B19" s="179" t="s">
        <v>14</v>
      </c>
      <c r="C19" s="180"/>
      <c r="D19" s="180"/>
      <c r="E19" s="47">
        <f>SUMIF('Deflatores Sisp'!$M$4:$M$38,"ADAPTATIVA",'Deflatores Sisp'!$K$4:$K$38)</f>
        <v>0</v>
      </c>
    </row>
    <row r="20" spans="2:5" ht="12.75" customHeight="1">
      <c r="B20" s="179" t="s">
        <v>15</v>
      </c>
      <c r="C20" s="180"/>
      <c r="D20" s="180"/>
      <c r="E20" s="47">
        <f>SUMIF('Deflatores Sisp'!$M$4:$M$38,"EvolutivaI",'Deflatores Sisp'!$K$4:$K$38)</f>
        <v>481</v>
      </c>
    </row>
    <row r="21" spans="2:5" ht="12.75" customHeight="1">
      <c r="B21" s="179" t="s">
        <v>16</v>
      </c>
      <c r="C21" s="180"/>
      <c r="D21" s="180"/>
      <c r="E21" s="47">
        <f>SUMIF('Deflatores Sisp'!$M$4:$M$38,"EvolutivaA",'Deflatores Sisp'!$K$4:$K$38)</f>
        <v>0</v>
      </c>
    </row>
    <row r="22" spans="2:5" ht="12.75" customHeight="1">
      <c r="B22" s="179" t="s">
        <v>17</v>
      </c>
      <c r="C22" s="180"/>
      <c r="D22" s="180"/>
      <c r="E22" s="47">
        <f>SUMIF('Deflatores Sisp'!$M$4:$M$38,"EvolutivaE",'Deflatores Sisp'!$K$4:$K$38)</f>
        <v>0</v>
      </c>
    </row>
    <row r="23" spans="2:5" ht="12.75" customHeight="1">
      <c r="B23" s="179" t="s">
        <v>18</v>
      </c>
      <c r="C23" s="180"/>
      <c r="D23" s="180"/>
      <c r="E23" s="47">
        <f>'Deflatores Sisp'!N2</f>
        <v>24.050000000000022</v>
      </c>
    </row>
    <row r="24" spans="2:5" ht="12.75" customHeight="1">
      <c r="B24" s="179" t="s">
        <v>19</v>
      </c>
      <c r="C24" s="180"/>
      <c r="D24" s="180"/>
      <c r="E24" s="60">
        <f>SUM('Deflatores Sisp'!$K$42:$K$70)</f>
        <v>0</v>
      </c>
    </row>
    <row r="25" spans="2:5" ht="27.75" customHeight="1">
      <c r="B25" s="181" t="s">
        <v>20</v>
      </c>
      <c r="C25" s="180"/>
      <c r="D25" s="180"/>
      <c r="E25" s="59">
        <f>Funções!O6</f>
        <v>232.39000000000007</v>
      </c>
    </row>
    <row r="26" spans="2:5" ht="14.4">
      <c r="C26" s="46"/>
    </row>
    <row r="27" spans="2:5" ht="15">
      <c r="B27" s="176" t="s">
        <v>21</v>
      </c>
      <c r="C27" s="177"/>
      <c r="D27" s="177"/>
      <c r="E27" s="178"/>
    </row>
    <row r="28" spans="2:5" ht="12.75" customHeight="1">
      <c r="B28" s="170" t="s">
        <v>211</v>
      </c>
      <c r="C28" s="171"/>
      <c r="D28" s="171"/>
      <c r="E28" s="172"/>
    </row>
    <row r="29" spans="2:5">
      <c r="B29" s="173"/>
      <c r="C29" s="174"/>
      <c r="D29" s="174"/>
      <c r="E29" s="175"/>
    </row>
    <row r="30" spans="2:5" ht="43.5" customHeight="1">
      <c r="B30" s="173"/>
      <c r="C30" s="174"/>
      <c r="D30" s="174"/>
      <c r="E30" s="175"/>
    </row>
    <row r="31" spans="2:5" ht="14.4">
      <c r="C31" s="46"/>
    </row>
    <row r="32" spans="2:5" ht="15">
      <c r="B32" s="176" t="s">
        <v>22</v>
      </c>
      <c r="C32" s="177"/>
      <c r="D32" s="177"/>
      <c r="E32" s="178"/>
    </row>
    <row r="33" spans="2:5">
      <c r="B33" s="38" t="s">
        <v>23</v>
      </c>
      <c r="C33" s="38" t="s">
        <v>24</v>
      </c>
      <c r="D33" s="52" t="s">
        <v>25</v>
      </c>
      <c r="E33" s="54" t="s">
        <v>26</v>
      </c>
    </row>
    <row r="34" spans="2:5" ht="36" customHeight="1">
      <c r="B34" s="40">
        <v>46043</v>
      </c>
      <c r="C34" s="39" t="s">
        <v>27</v>
      </c>
      <c r="D34" s="150" t="s">
        <v>208</v>
      </c>
      <c r="E34" s="55" t="s">
        <v>207</v>
      </c>
    </row>
    <row r="35" spans="2:5" ht="40.5" customHeight="1">
      <c r="B35" s="40"/>
      <c r="C35" s="39"/>
      <c r="D35" s="150"/>
      <c r="E35" s="55"/>
    </row>
    <row r="36" spans="2:5" ht="39" customHeight="1">
      <c r="B36" s="40"/>
      <c r="C36" s="41"/>
      <c r="D36" s="150"/>
      <c r="E36" s="55"/>
    </row>
    <row r="37" spans="2:5" ht="29.25" customHeight="1">
      <c r="B37" s="40"/>
      <c r="C37" s="41"/>
      <c r="D37" s="151"/>
      <c r="E37" s="55"/>
    </row>
    <row r="38" spans="2:5">
      <c r="B38" s="40"/>
      <c r="C38" s="41"/>
      <c r="D38" s="150"/>
      <c r="E38" s="55"/>
    </row>
    <row r="39" spans="2:5">
      <c r="B39" s="40"/>
      <c r="C39" s="41"/>
      <c r="D39" s="152"/>
      <c r="E39" s="55"/>
    </row>
    <row r="40" spans="2:5">
      <c r="B40" s="40"/>
      <c r="C40" s="41"/>
      <c r="D40" s="152"/>
      <c r="E40" s="55"/>
    </row>
    <row r="41" spans="2:5">
      <c r="B41" s="40"/>
      <c r="C41" s="41"/>
      <c r="D41" s="150"/>
      <c r="E41" s="55"/>
    </row>
    <row r="42" spans="2:5">
      <c r="B42" s="40"/>
      <c r="C42" s="41"/>
      <c r="D42" s="150"/>
      <c r="E42" s="55"/>
    </row>
    <row r="43" spans="2:5">
      <c r="B43" s="40"/>
      <c r="C43" s="41"/>
      <c r="D43" s="150"/>
      <c r="E43" s="55"/>
    </row>
    <row r="44" spans="2:5">
      <c r="B44" s="40"/>
      <c r="C44" s="41"/>
      <c r="D44" s="150"/>
      <c r="E44" s="55"/>
    </row>
    <row r="45" spans="2:5">
      <c r="B45" s="40"/>
      <c r="C45" s="41"/>
      <c r="D45" s="150"/>
      <c r="E45" s="55"/>
    </row>
    <row r="46" spans="2:5">
      <c r="B46" s="40"/>
      <c r="C46" s="41"/>
      <c r="D46" s="150"/>
      <c r="E46" s="55"/>
    </row>
    <row r="47" spans="2:5">
      <c r="B47" s="40"/>
      <c r="C47" s="41"/>
      <c r="D47" s="150"/>
      <c r="E47" s="55"/>
    </row>
    <row r="48" spans="2:5">
      <c r="B48" s="40"/>
      <c r="C48" s="41"/>
      <c r="D48" s="150"/>
      <c r="E48" s="55"/>
    </row>
    <row r="49" spans="2:5">
      <c r="B49" s="40"/>
      <c r="C49" s="41"/>
      <c r="D49" s="150"/>
      <c r="E49" s="55"/>
    </row>
    <row r="50" spans="2:5">
      <c r="B50" s="40"/>
      <c r="C50" s="41"/>
      <c r="D50" s="150"/>
      <c r="E50" s="55"/>
    </row>
    <row r="51" spans="2:5">
      <c r="B51" s="40"/>
      <c r="C51" s="41"/>
      <c r="D51" s="150"/>
      <c r="E51" s="55"/>
    </row>
    <row r="52" spans="2:5">
      <c r="B52" s="42"/>
      <c r="C52" s="43"/>
      <c r="D52" s="53"/>
      <c r="E52" s="56"/>
    </row>
  </sheetData>
  <mergeCells count="16">
    <mergeCell ref="B2:C2"/>
    <mergeCell ref="D2:E2"/>
    <mergeCell ref="B4:E4"/>
    <mergeCell ref="B16:E16"/>
    <mergeCell ref="B17:D17"/>
    <mergeCell ref="B18:D18"/>
    <mergeCell ref="B19:D19"/>
    <mergeCell ref="B20:D20"/>
    <mergeCell ref="B21:D21"/>
    <mergeCell ref="B27:E27"/>
    <mergeCell ref="B28:E30"/>
    <mergeCell ref="B32:E32"/>
    <mergeCell ref="B22:D22"/>
    <mergeCell ref="B24:D24"/>
    <mergeCell ref="B25:D25"/>
    <mergeCell ref="B23:D23"/>
  </mergeCells>
  <dataValidations count="3">
    <dataValidation type="list" allowBlank="1" showInputMessage="1" showErrorMessage="1" sqref="D14" xr:uid="{4A4AA9B5-404E-4BC5-B7CE-0061F06287CC}">
      <formula1>"Estimada,Detalhada"</formula1>
    </dataValidation>
    <dataValidation type="list" operator="equal" allowBlank="1" showErrorMessage="1" sqref="D12" xr:uid="{0753AF4E-F836-43D9-A8EB-891641E79C12}">
      <formula1>"Aplicação,Projeto de Desenvolvimento,Projeto de Melhoria"</formula1>
      <formula2>0</formula2>
    </dataValidation>
    <dataValidation type="list" operator="equal" allowBlank="1" showErrorMessage="1" sqref="E12:I12" xr:uid="{2946FCB3-906C-4756-8722-4208E8C685C0}">
      <formula1>"Aplicação,Estimativa,Projeto de Desenvolvimento,Projeto de Melhoria"</formula1>
      <formula2>0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4F4F6-0F16-466C-80BB-8D7D093D61F3}">
  <sheetPr codeName="Plan2">
    <pageSetUpPr fitToPage="1"/>
  </sheetPr>
  <dimension ref="A1:AE202"/>
  <sheetViews>
    <sheetView showGridLines="0" tabSelected="1" zoomScaleNormal="100" zoomScaleSheetLayoutView="100" workbookViewId="0">
      <pane xSplit="2" ySplit="7" topLeftCell="K160" activePane="bottomRight" state="frozen"/>
      <selection pane="topRight" activeCell="C1" sqref="C1"/>
      <selection pane="bottomLeft" activeCell="A8" sqref="A8"/>
      <selection pane="bottomRight" activeCell="A163" sqref="A163:XFD163"/>
    </sheetView>
  </sheetViews>
  <sheetFormatPr defaultColWidth="8.88671875" defaultRowHeight="13.2"/>
  <cols>
    <col min="1" max="1" width="20.6640625" style="125" bestFit="1" customWidth="1"/>
    <col min="2" max="2" width="56.88671875" style="149" customWidth="1"/>
    <col min="3" max="3" width="6.33203125" customWidth="1"/>
    <col min="4" max="4" width="9.6640625" customWidth="1"/>
    <col min="5" max="5" width="4.44140625" customWidth="1"/>
    <col min="6" max="6" width="10.33203125" style="125" customWidth="1"/>
    <col min="7" max="7" width="3.88671875" customWidth="1"/>
    <col min="8" max="8" width="10.6640625" style="125" customWidth="1"/>
    <col min="9" max="9" width="12.44140625" customWidth="1"/>
    <col min="10" max="10" width="4.88671875" hidden="1" customWidth="1"/>
    <col min="11" max="11" width="13.44140625" customWidth="1"/>
    <col min="12" max="12" width="5.44140625" customWidth="1"/>
    <col min="13" max="13" width="9.5546875" customWidth="1"/>
    <col min="14" max="14" width="16.5546875" customWidth="1"/>
    <col min="15" max="15" width="14.6640625" customWidth="1"/>
    <col min="16" max="17" width="10.44140625" customWidth="1"/>
    <col min="18" max="18" width="12.6640625" customWidth="1"/>
    <col min="19" max="21" width="10.44140625" customWidth="1"/>
    <col min="22" max="22" width="10.33203125" style="73" bestFit="1" customWidth="1"/>
    <col min="23" max="23" width="13" style="73" customWidth="1"/>
    <col min="24" max="24" width="10.6640625" hidden="1" customWidth="1"/>
    <col min="25" max="25" width="32.44140625" hidden="1" customWidth="1"/>
    <col min="26" max="31" width="4.44140625" style="73" hidden="1" customWidth="1"/>
  </cols>
  <sheetData>
    <row r="1" spans="1:31">
      <c r="A1" s="186" t="s">
        <v>28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7"/>
    </row>
    <row r="2" spans="1:31">
      <c r="A2" s="186"/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7"/>
    </row>
    <row r="3" spans="1:3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7"/>
    </row>
    <row r="4" spans="1:31">
      <c r="A4" s="196" t="str">
        <f>Capa!C6&amp;" : "&amp;Capa!D6</f>
        <v>Projeto/Demanda : PGF - Fase 1</v>
      </c>
      <c r="B4" s="196"/>
      <c r="C4" s="61" t="str">
        <f>Capa!C12&amp;" : "&amp;Capa!D12</f>
        <v>Tipo de Contagem : Projeto de Desenvolvimento</v>
      </c>
      <c r="D4" s="61"/>
      <c r="E4" s="61"/>
      <c r="F4" s="123"/>
      <c r="G4" s="61"/>
      <c r="H4" s="123"/>
      <c r="I4" s="61"/>
      <c r="J4" s="61"/>
      <c r="K4" s="62"/>
      <c r="L4" s="62"/>
      <c r="M4" s="62"/>
      <c r="N4" s="62"/>
      <c r="O4" s="63"/>
      <c r="P4" s="62"/>
      <c r="Q4" s="62"/>
      <c r="R4" s="62"/>
      <c r="S4" s="62"/>
      <c r="T4" s="62"/>
      <c r="U4" s="62"/>
      <c r="V4" s="74"/>
      <c r="W4" s="74"/>
      <c r="X4" s="188"/>
      <c r="Y4" s="188"/>
    </row>
    <row r="5" spans="1:31">
      <c r="A5" s="196" t="str">
        <f>Capa!C8&amp;" : "&amp;Capa!D8</f>
        <v>Aplicação : PGF - Plataforma de Gestão Financeira</v>
      </c>
      <c r="B5" s="196"/>
      <c r="C5" s="61" t="str">
        <f>Capa!C14&amp;" : "&amp;Capa!D14</f>
        <v>Forma de Contagem : Detalhada</v>
      </c>
      <c r="D5" s="61"/>
      <c r="E5" s="61"/>
      <c r="F5" s="123"/>
      <c r="G5" s="61"/>
      <c r="H5" s="123"/>
      <c r="I5" s="61"/>
      <c r="J5" s="61"/>
      <c r="K5" s="64" t="s">
        <v>29</v>
      </c>
      <c r="L5" s="61"/>
      <c r="M5" s="61"/>
      <c r="N5" s="65" t="s">
        <v>30</v>
      </c>
      <c r="O5" s="72" t="s">
        <v>31</v>
      </c>
      <c r="P5" s="190" t="s">
        <v>32</v>
      </c>
      <c r="Q5" s="191"/>
      <c r="R5" s="191"/>
      <c r="S5" s="191"/>
      <c r="T5" s="191"/>
      <c r="U5" s="191"/>
      <c r="V5" s="191"/>
      <c r="W5" s="192"/>
      <c r="X5" s="189"/>
      <c r="Y5" s="189"/>
    </row>
    <row r="6" spans="1:31">
      <c r="A6" s="188" t="str">
        <f>Capa!C10&amp;" : "&amp;Capa!D10</f>
        <v>Responsável : Prodesp</v>
      </c>
      <c r="B6" s="188"/>
      <c r="C6" s="188"/>
      <c r="D6" s="188"/>
      <c r="E6" s="188"/>
      <c r="F6" s="188"/>
      <c r="G6" s="188"/>
      <c r="H6" s="188"/>
      <c r="I6" s="188"/>
      <c r="J6" s="62"/>
      <c r="K6" s="76">
        <f>SUM($K$8:$K$121643)</f>
        <v>980</v>
      </c>
      <c r="L6" s="62"/>
      <c r="M6" s="62"/>
      <c r="N6" s="76">
        <f>SUM($N$8:$N$104)</f>
        <v>481</v>
      </c>
      <c r="O6" s="77">
        <f>SUM(O8:O1029143)</f>
        <v>232.39000000000007</v>
      </c>
      <c r="P6" s="193"/>
      <c r="Q6" s="194"/>
      <c r="R6" s="194"/>
      <c r="S6" s="194"/>
      <c r="T6" s="194"/>
      <c r="U6" s="194"/>
      <c r="V6" s="194"/>
      <c r="W6" s="195"/>
      <c r="X6" s="188"/>
      <c r="Y6" s="188"/>
    </row>
    <row r="7" spans="1:31" s="140" customFormat="1" ht="21.6">
      <c r="A7" s="126" t="s">
        <v>33</v>
      </c>
      <c r="B7" s="126" t="s">
        <v>34</v>
      </c>
      <c r="C7" s="117" t="s">
        <v>35</v>
      </c>
      <c r="D7" s="122" t="s">
        <v>36</v>
      </c>
      <c r="E7" s="127" t="s">
        <v>37</v>
      </c>
      <c r="F7" s="161" t="s">
        <v>38</v>
      </c>
      <c r="G7" s="122" t="s">
        <v>39</v>
      </c>
      <c r="H7" s="122" t="s">
        <v>40</v>
      </c>
      <c r="I7" s="128" t="s">
        <v>41</v>
      </c>
      <c r="J7" s="129" t="s">
        <v>42</v>
      </c>
      <c r="K7" s="129" t="s">
        <v>43</v>
      </c>
      <c r="L7" s="130" t="s">
        <v>44</v>
      </c>
      <c r="M7" s="130" t="s">
        <v>45</v>
      </c>
      <c r="N7" s="131" t="s">
        <v>30</v>
      </c>
      <c r="O7" s="132" t="s">
        <v>46</v>
      </c>
      <c r="P7" s="133" t="s">
        <v>47</v>
      </c>
      <c r="Q7" s="134" t="s">
        <v>48</v>
      </c>
      <c r="R7" s="134" t="s">
        <v>49</v>
      </c>
      <c r="S7" s="134" t="s">
        <v>50</v>
      </c>
      <c r="T7" s="135" t="s">
        <v>51</v>
      </c>
      <c r="U7" s="135" t="s">
        <v>52</v>
      </c>
      <c r="V7" s="136" t="s">
        <v>53</v>
      </c>
      <c r="W7" s="136" t="s">
        <v>54</v>
      </c>
      <c r="X7" s="137" t="s">
        <v>55</v>
      </c>
      <c r="Y7" s="138" t="s">
        <v>56</v>
      </c>
      <c r="Z7" s="139"/>
      <c r="AA7" s="139"/>
      <c r="AB7" s="139"/>
      <c r="AC7" s="139"/>
      <c r="AD7" s="139"/>
      <c r="AE7" s="139"/>
    </row>
    <row r="8" spans="1:31">
      <c r="A8" s="148" t="s">
        <v>445</v>
      </c>
      <c r="B8" s="160" t="s">
        <v>411</v>
      </c>
      <c r="C8" s="3"/>
      <c r="D8" s="3"/>
      <c r="E8" s="5"/>
      <c r="F8" s="124"/>
      <c r="G8" s="75"/>
      <c r="H8" s="124"/>
      <c r="I8" s="79" t="str">
        <f t="shared" ref="I8:I27" si="0">IF(ISBLANK(C8),"",IF(L8="L","Baixa",IF(L8="A","Média",IF(L8="","","Alta"))))</f>
        <v/>
      </c>
      <c r="J8" s="66" t="str">
        <f t="shared" ref="J8:J72" si="1">CONCATENATE(C8,L8)</f>
        <v/>
      </c>
      <c r="K8" s="67" t="str">
        <f t="shared" ref="K8:K27" si="2">IF(ISBLANK(C8),"",IF(C8="ALI",IF(L8="L",7,IF(L8="A",10,15)),IF(C8="AIE",IF(L8="L",5,IF(L8="A",7,10)),IF(C8="SE",IF(L8="L",4,IF(L8="A",5,7)),IF(OR(C8="EE",C8="CE"),IF(L8="L",3,IF(L8="A",4,6)),0)))))</f>
        <v/>
      </c>
      <c r="L8" s="70" t="str">
        <f t="shared" ref="L8:L72" si="3">IF(OR(ISBLANK(E8),ISBLANK(G8)),IF(OR(C8="ALI",C8="AIE"),"L",IF(OR(C8="EE",C8="SE",C8="CE"),"A","")),IF(C8="EE",IF(G8&gt;=3,IF(E8&gt;=5,"H","A"),IF(G8&gt;=2,IF(E8&gt;=16,"H",IF(E8&lt;=4,"L","A")),IF(E8&lt;=15,"L","A"))),IF(OR(C8="SE",C8="CE"),IF(G8&gt;=4,IF(E8&gt;=6,"H","A"),IF(G8&gt;=2,IF(E8&gt;=20,"H",IF(E8&lt;=5,"L","A")),IF(E8&lt;=19,"L","A"))),IF(OR(C8="ALI",C8="AIE"),IF(G8&gt;=6,IF(E8&gt;=20,"H","A"),IF(G8&gt;=2,IF(E8&gt;=51,"H",IF(E8&lt;=19,"L","A")),IF(E8&lt;=50,"L","A"))),""))))</f>
        <v/>
      </c>
      <c r="M8" s="69" t="str">
        <f t="shared" ref="M8:M72" si="4">CONCATENATE(C8,D8)</f>
        <v/>
      </c>
      <c r="N8" s="68" t="str">
        <f>IF(OR(K8="",K8=0),O8,K8)</f>
        <v/>
      </c>
      <c r="O8" s="78" t="str">
        <f>IFERROR(IF(NOT(ISERROR(VLOOKUP(C8,'Deflatores Sisp'!G$42:H$70,2,FALSE))),VLOOKUP(C8,'Deflatores Sisp'!G$42:H$70,2,FALSE),IF(OR(ISBLANK(D8),ISBLANK(C8)),"",VLOOKUP(D8,'Deflatores Sisp'!G$4:H$38,2,FALSE)*K8+VLOOKUP(D8,'Deflatores Sisp'!G$4:I$38,3,FALSE)))*W8,"")</f>
        <v/>
      </c>
      <c r="P8" s="120"/>
      <c r="Q8" s="68"/>
      <c r="R8" s="68"/>
      <c r="S8" s="68"/>
      <c r="T8" s="68" t="s">
        <v>59</v>
      </c>
      <c r="U8" s="68"/>
      <c r="V8" s="121"/>
      <c r="W8" s="121">
        <f t="shared" ref="W8:W20" si="5">IF(V8="",SUM(Z8:AE8),IF(C8="PA",E8,100%))</f>
        <v>0.05</v>
      </c>
      <c r="X8" s="118"/>
      <c r="Y8" s="4"/>
      <c r="Z8" s="73">
        <f t="shared" ref="Z8:Z12" si="6">IF(P8="x",25%,0)</f>
        <v>0</v>
      </c>
      <c r="AA8" s="73">
        <f t="shared" ref="AA8:AA12" si="7">IF(Q8="x",10%,0)</f>
        <v>0</v>
      </c>
      <c r="AB8" s="73">
        <f t="shared" ref="AB8:AB12" si="8">IF(R8="x",40%,0)</f>
        <v>0</v>
      </c>
      <c r="AC8" s="73">
        <f t="shared" ref="AC8:AC12" si="9">IF(S8="x",15%,0)</f>
        <v>0</v>
      </c>
      <c r="AD8" s="73">
        <f>IF(T8="x",5%,0)</f>
        <v>0.05</v>
      </c>
      <c r="AE8" s="73">
        <f>IF(U8="x",5%,0)</f>
        <v>0</v>
      </c>
    </row>
    <row r="9" spans="1:31" ht="33" customHeight="1">
      <c r="A9" s="158"/>
      <c r="B9" s="162" t="s">
        <v>212</v>
      </c>
      <c r="C9" s="159" t="s">
        <v>65</v>
      </c>
      <c r="D9" s="154" t="s">
        <v>66</v>
      </c>
      <c r="E9" s="155">
        <v>18</v>
      </c>
      <c r="F9" s="157" t="s">
        <v>213</v>
      </c>
      <c r="G9" s="156">
        <v>2</v>
      </c>
      <c r="H9" s="157" t="s">
        <v>214</v>
      </c>
      <c r="I9" s="79" t="str">
        <f t="shared" si="0"/>
        <v>Baixa</v>
      </c>
      <c r="J9" s="66" t="str">
        <f t="shared" si="1"/>
        <v>ALIL</v>
      </c>
      <c r="K9" s="67">
        <f t="shared" si="2"/>
        <v>7</v>
      </c>
      <c r="L9" s="70" t="str">
        <f t="shared" si="3"/>
        <v>L</v>
      </c>
      <c r="M9" s="69" t="str">
        <f t="shared" si="4"/>
        <v>ALII</v>
      </c>
      <c r="N9" s="71">
        <f t="shared" ref="N9:N55" si="10">IF(OR(K9="",K9=0),O9,K9)</f>
        <v>7</v>
      </c>
      <c r="O9" s="78">
        <f>IFERROR(IF(NOT(ISERROR(VLOOKUP(C9,'Deflatores Sisp'!G$42:H$70,2,FALSE))),VLOOKUP(C9,'Deflatores Sisp'!G$42:H$70,2,FALSE),IF(OR(ISBLANK(D9),ISBLANK(C9)),"",VLOOKUP(D9,'Deflatores Sisp'!G$4:H$38,2,FALSE)*K9+VLOOKUP(D9,'Deflatores Sisp'!G$4:I$38,3,FALSE)))*W9,"")</f>
        <v>0.35000000000000003</v>
      </c>
      <c r="P9" s="120"/>
      <c r="Q9" s="68"/>
      <c r="R9" s="68"/>
      <c r="S9" s="68"/>
      <c r="T9" s="68" t="s">
        <v>59</v>
      </c>
      <c r="U9" s="68"/>
      <c r="V9" s="121"/>
      <c r="W9" s="121">
        <f t="shared" si="5"/>
        <v>0.05</v>
      </c>
      <c r="X9" s="118"/>
      <c r="Y9" s="4"/>
      <c r="Z9" s="73">
        <f t="shared" si="6"/>
        <v>0</v>
      </c>
      <c r="AA9" s="73">
        <f t="shared" si="7"/>
        <v>0</v>
      </c>
      <c r="AB9" s="73">
        <f t="shared" si="8"/>
        <v>0</v>
      </c>
      <c r="AC9" s="73">
        <f t="shared" si="9"/>
        <v>0</v>
      </c>
      <c r="AD9" s="73">
        <f t="shared" ref="AD9:AD15" si="11">IF(T9="x",5%,0)</f>
        <v>0.05</v>
      </c>
      <c r="AE9" s="73">
        <f t="shared" ref="AE9:AE106" si="12">IF(U9="x",5%,0)</f>
        <v>0</v>
      </c>
    </row>
    <row r="10" spans="1:31" ht="33" customHeight="1">
      <c r="A10" s="158"/>
      <c r="B10" s="162" t="s">
        <v>215</v>
      </c>
      <c r="C10" s="159" t="s">
        <v>65</v>
      </c>
      <c r="D10" s="154" t="s">
        <v>66</v>
      </c>
      <c r="E10" s="155">
        <v>16</v>
      </c>
      <c r="F10" s="157" t="s">
        <v>216</v>
      </c>
      <c r="G10" s="156">
        <v>3</v>
      </c>
      <c r="H10" s="157" t="s">
        <v>217</v>
      </c>
      <c r="I10" s="79" t="str">
        <f t="shared" si="0"/>
        <v>Baixa</v>
      </c>
      <c r="J10" s="66" t="str">
        <f t="shared" si="1"/>
        <v>ALIL</v>
      </c>
      <c r="K10" s="67">
        <f t="shared" si="2"/>
        <v>7</v>
      </c>
      <c r="L10" s="70" t="str">
        <f t="shared" si="3"/>
        <v>L</v>
      </c>
      <c r="M10" s="69" t="str">
        <f t="shared" si="4"/>
        <v>ALII</v>
      </c>
      <c r="N10" s="71">
        <f t="shared" si="10"/>
        <v>7</v>
      </c>
      <c r="O10" s="78">
        <f>IFERROR(IF(NOT(ISERROR(VLOOKUP(C10,'Deflatores Sisp'!G$42:H$70,2,FALSE))),VLOOKUP(C10,'Deflatores Sisp'!G$42:H$70,2,FALSE),IF(OR(ISBLANK(D10),ISBLANK(C10)),"",VLOOKUP(D10,'Deflatores Sisp'!G$4:H$38,2,FALSE)*K10+VLOOKUP(D10,'Deflatores Sisp'!G$4:I$38,3,FALSE)))*W10,"")</f>
        <v>0.35000000000000003</v>
      </c>
      <c r="P10" s="120"/>
      <c r="Q10" s="68"/>
      <c r="R10" s="68"/>
      <c r="S10" s="68"/>
      <c r="T10" s="68" t="s">
        <v>59</v>
      </c>
      <c r="U10" s="68"/>
      <c r="V10" s="121"/>
      <c r="W10" s="121">
        <f t="shared" si="5"/>
        <v>0.05</v>
      </c>
      <c r="X10" s="118"/>
      <c r="Y10" s="4"/>
      <c r="Z10" s="73">
        <f t="shared" si="6"/>
        <v>0</v>
      </c>
      <c r="AA10" s="73">
        <f t="shared" si="7"/>
        <v>0</v>
      </c>
      <c r="AB10" s="73">
        <f t="shared" si="8"/>
        <v>0</v>
      </c>
      <c r="AC10" s="73">
        <f t="shared" si="9"/>
        <v>0</v>
      </c>
      <c r="AD10" s="73">
        <f t="shared" si="11"/>
        <v>0.05</v>
      </c>
      <c r="AE10" s="73">
        <f t="shared" si="12"/>
        <v>0</v>
      </c>
    </row>
    <row r="11" spans="1:31" ht="33" customHeight="1">
      <c r="A11" s="158"/>
      <c r="B11" s="162" t="s">
        <v>218</v>
      </c>
      <c r="C11" s="159" t="s">
        <v>65</v>
      </c>
      <c r="D11" s="154" t="s">
        <v>66</v>
      </c>
      <c r="E11" s="155">
        <v>14</v>
      </c>
      <c r="F11" s="157" t="s">
        <v>219</v>
      </c>
      <c r="G11" s="156">
        <v>3</v>
      </c>
      <c r="H11" s="157" t="s">
        <v>220</v>
      </c>
      <c r="I11" s="79" t="str">
        <f>IF(ISBLANK(C11),"",IF(L11="L","Baixa",IF(L11="A","Média",IF(L11="","","Alta"))))</f>
        <v>Baixa</v>
      </c>
      <c r="J11" s="66" t="str">
        <f>CONCATENATE(C11,L11)</f>
        <v>ALIL</v>
      </c>
      <c r="K11" s="67">
        <f>IF(ISBLANK(C11),"",IF(C11="ALI",IF(L11="L",7,IF(L11="A",10,15)),IF(C11="AIE",IF(L11="L",5,IF(L11="A",7,10)),IF(C11="SE",IF(L11="L",4,IF(L11="A",5,7)),IF(OR(C11="EE",C11="CE"),IF(L11="L",3,IF(L11="A",4,6)),0)))))</f>
        <v>7</v>
      </c>
      <c r="L11" s="70" t="str">
        <f>IF(OR(ISBLANK(E11),ISBLANK(G11)),IF(OR(C11="ALI",C11="AIE"),"L",IF(OR(C11="EE",C11="SE",C11="CE"),"A","")),IF(C11="EE",IF(G11&gt;=3,IF(E11&gt;=5,"H","A"),IF(G11&gt;=2,IF(E11&gt;=16,"H",IF(E11&lt;=4,"L","A")),IF(E11&lt;=15,"L","A"))),IF(OR(C11="SE",C11="CE"),IF(G11&gt;=4,IF(E11&gt;=6,"H","A"),IF(G11&gt;=2,IF(E11&gt;=20,"H",IF(E11&lt;=5,"L","A")),IF(E11&lt;=19,"L","A"))),IF(OR(C11="ALI",C11="AIE"),IF(G11&gt;=6,IF(E11&gt;=20,"H","A"),IF(G11&gt;=2,IF(E11&gt;=51,"H",IF(E11&lt;=19,"L","A")),IF(E11&lt;=50,"L","A"))),""))))</f>
        <v>L</v>
      </c>
      <c r="M11" s="69" t="str">
        <f>CONCATENATE(C11,D11)</f>
        <v>ALII</v>
      </c>
      <c r="N11" s="71">
        <f t="shared" si="10"/>
        <v>7</v>
      </c>
      <c r="O11" s="78">
        <f>IFERROR(IF(NOT(ISERROR(VLOOKUP(C11,'Deflatores Sisp'!G$42:H$70,2,FALSE))),VLOOKUP(C11,'Deflatores Sisp'!G$42:H$70,2,FALSE),IF(OR(ISBLANK(D11),ISBLANK(C11)),"",VLOOKUP(D11,'Deflatores Sisp'!G$4:H$38,2,FALSE)*K11+VLOOKUP(D11,'Deflatores Sisp'!G$4:I$38,3,FALSE)))*W11,"")</f>
        <v>0.35000000000000003</v>
      </c>
      <c r="P11" s="120"/>
      <c r="Q11" s="68"/>
      <c r="R11" s="68"/>
      <c r="S11" s="68"/>
      <c r="T11" s="68" t="s">
        <v>59</v>
      </c>
      <c r="U11" s="68"/>
      <c r="V11" s="121"/>
      <c r="W11" s="121">
        <f>IF(V11="",SUM(Z11:AE11),IF(C11="PA",E11,100%))</f>
        <v>0.05</v>
      </c>
      <c r="X11" s="118"/>
      <c r="Y11" s="4"/>
      <c r="Z11" s="73">
        <f t="shared" si="6"/>
        <v>0</v>
      </c>
      <c r="AA11" s="73">
        <f t="shared" si="7"/>
        <v>0</v>
      </c>
      <c r="AB11" s="73">
        <f t="shared" si="8"/>
        <v>0</v>
      </c>
      <c r="AC11" s="73">
        <f t="shared" si="9"/>
        <v>0</v>
      </c>
      <c r="AD11" s="73">
        <f t="shared" si="11"/>
        <v>0.05</v>
      </c>
      <c r="AE11" s="73">
        <f t="shared" ref="AE11:AE12" si="13">IF(U11="x",5%,0)</f>
        <v>0</v>
      </c>
    </row>
    <row r="12" spans="1:31" ht="33" customHeight="1">
      <c r="A12" s="158"/>
      <c r="B12" s="162" t="s">
        <v>221</v>
      </c>
      <c r="C12" s="159" t="s">
        <v>65</v>
      </c>
      <c r="D12" s="154" t="s">
        <v>66</v>
      </c>
      <c r="E12" s="155">
        <v>6</v>
      </c>
      <c r="F12" s="157" t="s">
        <v>222</v>
      </c>
      <c r="G12" s="156">
        <v>1</v>
      </c>
      <c r="H12" s="157" t="s">
        <v>223</v>
      </c>
      <c r="I12" s="79" t="str">
        <f>IF(ISBLANK(C12),"",IF(L12="L","Baixa",IF(L12="A","Média",IF(L12="","","Alta"))))</f>
        <v>Baixa</v>
      </c>
      <c r="J12" s="66" t="str">
        <f>CONCATENATE(C12,L12)</f>
        <v>ALIL</v>
      </c>
      <c r="K12" s="67">
        <f>IF(ISBLANK(C12),"",IF(C12="ALI",IF(L12="L",7,IF(L12="A",10,15)),IF(C12="AIE",IF(L12="L",5,IF(L12="A",7,10)),IF(C12="SE",IF(L12="L",4,IF(L12="A",5,7)),IF(OR(C12="EE",C12="CE"),IF(L12="L",3,IF(L12="A",4,6)),0)))))</f>
        <v>7</v>
      </c>
      <c r="L12" s="70" t="str">
        <f>IF(OR(ISBLANK(E12),ISBLANK(G12)),IF(OR(C12="ALI",C12="AIE"),"L",IF(OR(C12="EE",C12="SE",C12="CE"),"A","")),IF(C12="EE",IF(G12&gt;=3,IF(E12&gt;=5,"H","A"),IF(G12&gt;=2,IF(E12&gt;=16,"H",IF(E12&lt;=4,"L","A")),IF(E12&lt;=15,"L","A"))),IF(OR(C12="SE",C12="CE"),IF(G12&gt;=4,IF(E12&gt;=6,"H","A"),IF(G12&gt;=2,IF(E12&gt;=20,"H",IF(E12&lt;=5,"L","A")),IF(E12&lt;=19,"L","A"))),IF(OR(C12="ALI",C12="AIE"),IF(G12&gt;=6,IF(E12&gt;=20,"H","A"),IF(G12&gt;=2,IF(E12&gt;=51,"H",IF(E12&lt;=19,"L","A")),IF(E12&lt;=50,"L","A"))),""))))</f>
        <v>L</v>
      </c>
      <c r="M12" s="69" t="str">
        <f>CONCATENATE(C12,D12)</f>
        <v>ALII</v>
      </c>
      <c r="N12" s="71">
        <f t="shared" si="10"/>
        <v>7</v>
      </c>
      <c r="O12" s="78">
        <f>IFERROR(IF(NOT(ISERROR(VLOOKUP(C12,'Deflatores Sisp'!G$42:H$70,2,FALSE))),VLOOKUP(C12,'Deflatores Sisp'!G$42:H$70,2,FALSE),IF(OR(ISBLANK(D12),ISBLANK(C12)),"",VLOOKUP(D12,'Deflatores Sisp'!G$4:H$38,2,FALSE)*K12+VLOOKUP(D12,'Deflatores Sisp'!G$4:I$38,3,FALSE)))*W12,"")</f>
        <v>0.35000000000000003</v>
      </c>
      <c r="P12" s="120"/>
      <c r="Q12" s="68"/>
      <c r="R12" s="68"/>
      <c r="S12" s="68"/>
      <c r="T12" s="68" t="s">
        <v>59</v>
      </c>
      <c r="U12" s="68"/>
      <c r="V12" s="121"/>
      <c r="W12" s="121">
        <f>IF(V12="",SUM(Z12:AE12),IF(C12="PA",E12,100%))</f>
        <v>0.05</v>
      </c>
      <c r="X12" s="118"/>
      <c r="Y12" s="4"/>
      <c r="Z12" s="73">
        <f t="shared" si="6"/>
        <v>0</v>
      </c>
      <c r="AA12" s="73">
        <f t="shared" si="7"/>
        <v>0</v>
      </c>
      <c r="AB12" s="73">
        <f t="shared" si="8"/>
        <v>0</v>
      </c>
      <c r="AC12" s="73">
        <f t="shared" si="9"/>
        <v>0</v>
      </c>
      <c r="AD12" s="73">
        <f t="shared" si="11"/>
        <v>0.05</v>
      </c>
      <c r="AE12" s="73">
        <f t="shared" si="13"/>
        <v>0</v>
      </c>
    </row>
    <row r="13" spans="1:31" ht="33" customHeight="1">
      <c r="A13" s="158"/>
      <c r="B13" s="162" t="s">
        <v>224</v>
      </c>
      <c r="C13" s="159" t="s">
        <v>65</v>
      </c>
      <c r="D13" s="154" t="s">
        <v>66</v>
      </c>
      <c r="E13" s="155">
        <v>10</v>
      </c>
      <c r="F13" s="157" t="s">
        <v>225</v>
      </c>
      <c r="G13" s="156">
        <v>2</v>
      </c>
      <c r="H13" s="157" t="s">
        <v>226</v>
      </c>
      <c r="I13" s="79" t="str">
        <f>IF(ISBLANK(C13),"",IF(L13="L","Baixa",IF(L13="A","Média",IF(L13="","","Alta"))))</f>
        <v>Baixa</v>
      </c>
      <c r="J13" s="66" t="str">
        <f>CONCATENATE(C13,L13)</f>
        <v>ALIL</v>
      </c>
      <c r="K13" s="67">
        <f>IF(ISBLANK(C13),"",IF(C13="ALI",IF(L13="L",7,IF(L13="A",10,15)),IF(C13="AIE",IF(L13="L",5,IF(L13="A",7,10)),IF(C13="SE",IF(L13="L",4,IF(L13="A",5,7)),IF(OR(C13="EE",C13="CE"),IF(L13="L",3,IF(L13="A",4,6)),0)))))</f>
        <v>7</v>
      </c>
      <c r="L13" s="70" t="str">
        <f>IF(OR(ISBLANK(E13),ISBLANK(G13)),IF(OR(C13="ALI",C13="AIE"),"L",IF(OR(C13="EE",C13="SE",C13="CE"),"A","")),IF(C13="EE",IF(G13&gt;=3,IF(E13&gt;=5,"H","A"),IF(G13&gt;=2,IF(E13&gt;=16,"H",IF(E13&lt;=4,"L","A")),IF(E13&lt;=15,"L","A"))),IF(OR(C13="SE",C13="CE"),IF(G13&gt;=4,IF(E13&gt;=6,"H","A"),IF(G13&gt;=2,IF(E13&gt;=20,"H",IF(E13&lt;=5,"L","A")),IF(E13&lt;=19,"L","A"))),IF(OR(C13="ALI",C13="AIE"),IF(G13&gt;=6,IF(E13&gt;=20,"H","A"),IF(G13&gt;=2,IF(E13&gt;=51,"H",IF(E13&lt;=19,"L","A")),IF(E13&lt;=50,"L","A"))),""))))</f>
        <v>L</v>
      </c>
      <c r="M13" s="69" t="str">
        <f>CONCATENATE(C13,D13)</f>
        <v>ALII</v>
      </c>
      <c r="N13" s="71">
        <f t="shared" si="10"/>
        <v>7</v>
      </c>
      <c r="O13" s="78">
        <f>IFERROR(IF(NOT(ISERROR(VLOOKUP(C13,'Deflatores Sisp'!G$42:H$70,2,FALSE))),VLOOKUP(C13,'Deflatores Sisp'!G$42:H$70,2,FALSE),IF(OR(ISBLANK(D13),ISBLANK(C13)),"",VLOOKUP(D13,'Deflatores Sisp'!G$4:H$38,2,FALSE)*K13+VLOOKUP(D13,'Deflatores Sisp'!G$4:I$38,3,FALSE)))*W13,"")</f>
        <v>0.35000000000000003</v>
      </c>
      <c r="P13" s="120"/>
      <c r="Q13" s="68"/>
      <c r="R13" s="68"/>
      <c r="S13" s="68"/>
      <c r="T13" s="68" t="s">
        <v>59</v>
      </c>
      <c r="U13" s="68"/>
      <c r="V13" s="121"/>
      <c r="W13" s="121">
        <f>IF(V13="",SUM(Z13:AE13),IF(C13="PA",E13,100%))</f>
        <v>0.05</v>
      </c>
      <c r="X13" s="118"/>
      <c r="Y13" s="4"/>
      <c r="Z13" s="73">
        <f>IF(P13="x",25%,0)</f>
        <v>0</v>
      </c>
      <c r="AA13" s="73">
        <f>IF(Q13="x",10%,0)</f>
        <v>0</v>
      </c>
      <c r="AB13" s="73">
        <f>IF(R13="x",40%,0)</f>
        <v>0</v>
      </c>
      <c r="AC13" s="73">
        <f>IF(S13="x",15%,0)</f>
        <v>0</v>
      </c>
      <c r="AD13" s="73">
        <f t="shared" si="11"/>
        <v>0.05</v>
      </c>
      <c r="AE13" s="73">
        <f t="shared" ref="AE13" si="14">IF(U13="x",5%,0)</f>
        <v>0</v>
      </c>
    </row>
    <row r="14" spans="1:31" ht="33" customHeight="1">
      <c r="A14" s="158"/>
      <c r="B14" s="162" t="s">
        <v>227</v>
      </c>
      <c r="C14" s="159" t="s">
        <v>65</v>
      </c>
      <c r="D14" s="154" t="s">
        <v>66</v>
      </c>
      <c r="E14" s="155">
        <v>9</v>
      </c>
      <c r="F14" s="157" t="s">
        <v>228</v>
      </c>
      <c r="G14" s="156">
        <v>1</v>
      </c>
      <c r="H14" s="157" t="s">
        <v>229</v>
      </c>
      <c r="I14" s="79" t="str">
        <f t="shared" si="0"/>
        <v>Baixa</v>
      </c>
      <c r="J14" s="66" t="str">
        <f t="shared" si="1"/>
        <v>ALIL</v>
      </c>
      <c r="K14" s="67">
        <f t="shared" si="2"/>
        <v>7</v>
      </c>
      <c r="L14" s="70" t="str">
        <f t="shared" si="3"/>
        <v>L</v>
      </c>
      <c r="M14" s="69" t="str">
        <f t="shared" si="4"/>
        <v>ALII</v>
      </c>
      <c r="N14" s="71">
        <f t="shared" si="10"/>
        <v>7</v>
      </c>
      <c r="O14" s="78">
        <f>IFERROR(IF(NOT(ISERROR(VLOOKUP(C14,'Deflatores Sisp'!G$42:H$70,2,FALSE))),VLOOKUP(C14,'Deflatores Sisp'!G$42:H$70,2,FALSE),IF(OR(ISBLANK(D14),ISBLANK(C14)),"",VLOOKUP(D14,'Deflatores Sisp'!G$4:H$38,2,FALSE)*K14+VLOOKUP(D14,'Deflatores Sisp'!G$4:I$38,3,FALSE)))*W14,"")</f>
        <v>0.35000000000000003</v>
      </c>
      <c r="P14" s="120"/>
      <c r="Q14" s="68"/>
      <c r="R14" s="68"/>
      <c r="S14" s="68"/>
      <c r="T14" s="68" t="s">
        <v>59</v>
      </c>
      <c r="U14" s="68"/>
      <c r="V14" s="121"/>
      <c r="W14" s="121">
        <f t="shared" si="5"/>
        <v>0.05</v>
      </c>
      <c r="X14" s="118"/>
      <c r="Y14" s="4"/>
      <c r="Z14" s="73">
        <f>IF(P14="x",25%,0)</f>
        <v>0</v>
      </c>
      <c r="AA14" s="73">
        <f>IF(Q14="x",10%,0)</f>
        <v>0</v>
      </c>
      <c r="AB14" s="73">
        <f>IF(R14="x",40%,0)</f>
        <v>0</v>
      </c>
      <c r="AC14" s="73">
        <f>IF(S14="x",15%,0)</f>
        <v>0</v>
      </c>
      <c r="AD14" s="73">
        <f t="shared" si="11"/>
        <v>0.05</v>
      </c>
      <c r="AE14" s="73">
        <f t="shared" si="12"/>
        <v>0</v>
      </c>
    </row>
    <row r="15" spans="1:31" ht="33" customHeight="1">
      <c r="A15" s="158"/>
      <c r="B15" s="162" t="s">
        <v>230</v>
      </c>
      <c r="C15" s="159" t="s">
        <v>65</v>
      </c>
      <c r="D15" s="154" t="s">
        <v>66</v>
      </c>
      <c r="E15" s="155">
        <v>22</v>
      </c>
      <c r="F15" s="157" t="s">
        <v>231</v>
      </c>
      <c r="G15" s="156">
        <v>2</v>
      </c>
      <c r="H15" s="157" t="s">
        <v>232</v>
      </c>
      <c r="I15" s="79" t="str">
        <f t="shared" si="0"/>
        <v>Média</v>
      </c>
      <c r="J15" s="66" t="str">
        <f t="shared" si="1"/>
        <v>ALIA</v>
      </c>
      <c r="K15" s="67">
        <f t="shared" si="2"/>
        <v>10</v>
      </c>
      <c r="L15" s="70" t="str">
        <f t="shared" si="3"/>
        <v>A</v>
      </c>
      <c r="M15" s="69" t="str">
        <f t="shared" si="4"/>
        <v>ALII</v>
      </c>
      <c r="N15" s="71">
        <f t="shared" si="10"/>
        <v>10</v>
      </c>
      <c r="O15" s="78">
        <f>IFERROR(IF(NOT(ISERROR(VLOOKUP(C15,'Deflatores Sisp'!G$42:H$70,2,FALSE))),VLOOKUP(C15,'Deflatores Sisp'!G$42:H$70,2,FALSE),IF(OR(ISBLANK(D15),ISBLANK(C15)),"",VLOOKUP(D15,'Deflatores Sisp'!G$4:H$38,2,FALSE)*K15+VLOOKUP(D15,'Deflatores Sisp'!G$4:I$38,3,FALSE)))*W15,"")</f>
        <v>0.5</v>
      </c>
      <c r="P15" s="120"/>
      <c r="Q15" s="68"/>
      <c r="R15" s="68"/>
      <c r="S15" s="68"/>
      <c r="T15" s="68" t="s">
        <v>59</v>
      </c>
      <c r="U15" s="68"/>
      <c r="V15" s="121"/>
      <c r="W15" s="121">
        <f t="shared" si="5"/>
        <v>0.05</v>
      </c>
      <c r="X15" s="118"/>
      <c r="Y15" s="4"/>
      <c r="Z15" s="73">
        <f>IF(P15="x",25%,0)</f>
        <v>0</v>
      </c>
      <c r="AA15" s="73">
        <f>IF(Q15="x",10%,0)</f>
        <v>0</v>
      </c>
      <c r="AB15" s="73">
        <f>IF(R15="x",40%,0)</f>
        <v>0</v>
      </c>
      <c r="AC15" s="73">
        <f>IF(S15="x",15%,0)</f>
        <v>0</v>
      </c>
      <c r="AD15" s="73">
        <f t="shared" si="11"/>
        <v>0.05</v>
      </c>
      <c r="AE15" s="73">
        <f t="shared" si="12"/>
        <v>0</v>
      </c>
    </row>
    <row r="16" spans="1:31" ht="33" customHeight="1">
      <c r="A16" s="158"/>
      <c r="B16" s="162" t="s">
        <v>233</v>
      </c>
      <c r="C16" s="159" t="s">
        <v>65</v>
      </c>
      <c r="D16" s="154" t="s">
        <v>66</v>
      </c>
      <c r="E16" s="155">
        <v>12</v>
      </c>
      <c r="F16" s="157" t="s">
        <v>234</v>
      </c>
      <c r="G16" s="156">
        <v>1</v>
      </c>
      <c r="H16" s="157" t="s">
        <v>235</v>
      </c>
      <c r="I16" s="79" t="str">
        <f t="shared" si="0"/>
        <v>Baixa</v>
      </c>
      <c r="J16" s="66" t="str">
        <f t="shared" si="1"/>
        <v>ALIL</v>
      </c>
      <c r="K16" s="67">
        <f t="shared" si="2"/>
        <v>7</v>
      </c>
      <c r="L16" s="70" t="str">
        <f t="shared" si="3"/>
        <v>L</v>
      </c>
      <c r="M16" s="69" t="str">
        <f t="shared" si="4"/>
        <v>ALII</v>
      </c>
      <c r="N16" s="71">
        <f t="shared" si="10"/>
        <v>7</v>
      </c>
      <c r="O16" s="78">
        <f>IFERROR(IF(NOT(ISERROR(VLOOKUP(C16,'Deflatores Sisp'!G$42:H$70,2,FALSE))),VLOOKUP(C16,'Deflatores Sisp'!G$42:H$70,2,FALSE),IF(OR(ISBLANK(D16),ISBLANK(C16)),"",VLOOKUP(D16,'Deflatores Sisp'!G$4:H$38,2,FALSE)*K16+VLOOKUP(D16,'Deflatores Sisp'!G$4:I$38,3,FALSE)))*W16,"")</f>
        <v>0.35000000000000003</v>
      </c>
      <c r="P16" s="120"/>
      <c r="Q16" s="68"/>
      <c r="R16" s="68"/>
      <c r="S16" s="68"/>
      <c r="T16" s="68" t="s">
        <v>59</v>
      </c>
      <c r="U16" s="68"/>
      <c r="V16" s="121"/>
      <c r="W16" s="121">
        <f t="shared" si="5"/>
        <v>0.05</v>
      </c>
      <c r="X16" s="118"/>
      <c r="Y16" s="4"/>
      <c r="Z16" s="73">
        <f t="shared" ref="Z16:Z20" si="15">IF(P16="x",25%,0)</f>
        <v>0</v>
      </c>
      <c r="AA16" s="73">
        <f t="shared" ref="AA16:AA20" si="16">IF(Q16="x",10%,0)</f>
        <v>0</v>
      </c>
      <c r="AB16" s="73">
        <f t="shared" ref="AB16:AB20" si="17">IF(R16="x",40%,0)</f>
        <v>0</v>
      </c>
      <c r="AC16" s="73">
        <f t="shared" ref="AC16:AC20" si="18">IF(S16="x",15%,0)</f>
        <v>0</v>
      </c>
      <c r="AD16" s="73">
        <f t="shared" ref="AD16:AD20" si="19">IF(T16="x",5%,0)</f>
        <v>0.05</v>
      </c>
      <c r="AE16" s="73">
        <f t="shared" si="12"/>
        <v>0</v>
      </c>
    </row>
    <row r="17" spans="1:31" ht="33" customHeight="1">
      <c r="A17" s="158"/>
      <c r="B17" s="162" t="s">
        <v>236</v>
      </c>
      <c r="C17" s="159" t="s">
        <v>65</v>
      </c>
      <c r="D17" s="154" t="s">
        <v>66</v>
      </c>
      <c r="E17" s="155">
        <v>12</v>
      </c>
      <c r="F17" s="157" t="s">
        <v>237</v>
      </c>
      <c r="G17" s="156">
        <v>1</v>
      </c>
      <c r="H17" s="157" t="s">
        <v>238</v>
      </c>
      <c r="I17" s="79" t="str">
        <f t="shared" ref="I17:I18" si="20">IF(ISBLANK(C17),"",IF(L17="L","Baixa",IF(L17="A","Média",IF(L17="","","Alta"))))</f>
        <v>Baixa</v>
      </c>
      <c r="J17" s="66" t="str">
        <f t="shared" si="1"/>
        <v>ALIL</v>
      </c>
      <c r="K17" s="67">
        <f t="shared" ref="K17:K18" si="21">IF(ISBLANK(C17),"",IF(C17="ALI",IF(L17="L",7,IF(L17="A",10,15)),IF(C17="AIE",IF(L17="L",5,IF(L17="A",7,10)),IF(C17="SE",IF(L17="L",4,IF(L17="A",5,7)),IF(OR(C17="EE",C17="CE"),IF(L17="L",3,IF(L17="A",4,6)),0)))))</f>
        <v>7</v>
      </c>
      <c r="L17" s="70" t="str">
        <f t="shared" si="3"/>
        <v>L</v>
      </c>
      <c r="M17" s="69" t="str">
        <f t="shared" si="4"/>
        <v>ALII</v>
      </c>
      <c r="N17" s="71">
        <f t="shared" si="10"/>
        <v>7</v>
      </c>
      <c r="O17" s="78">
        <f>IFERROR(IF(NOT(ISERROR(VLOOKUP(C17,'Deflatores Sisp'!G$42:H$70,2,FALSE))),VLOOKUP(C17,'Deflatores Sisp'!G$42:H$70,2,FALSE),IF(OR(ISBLANK(D17),ISBLANK(C17)),"",VLOOKUP(D17,'Deflatores Sisp'!G$4:H$38,2,FALSE)*K17+VLOOKUP(D17,'Deflatores Sisp'!G$4:I$38,3,FALSE)))*W17,"")</f>
        <v>0.35000000000000003</v>
      </c>
      <c r="P17" s="120"/>
      <c r="Q17" s="68"/>
      <c r="R17" s="68"/>
      <c r="S17" s="68"/>
      <c r="T17" s="68" t="s">
        <v>59</v>
      </c>
      <c r="U17" s="68"/>
      <c r="V17" s="121"/>
      <c r="W17" s="121">
        <f t="shared" si="5"/>
        <v>0.05</v>
      </c>
      <c r="X17" s="118"/>
      <c r="Y17" s="4"/>
      <c r="Z17" s="73">
        <f t="shared" si="15"/>
        <v>0</v>
      </c>
      <c r="AA17" s="73">
        <f t="shared" si="16"/>
        <v>0</v>
      </c>
      <c r="AB17" s="73">
        <f t="shared" si="17"/>
        <v>0</v>
      </c>
      <c r="AC17" s="73">
        <f t="shared" si="18"/>
        <v>0</v>
      </c>
      <c r="AD17" s="73">
        <f t="shared" si="19"/>
        <v>0.05</v>
      </c>
      <c r="AE17" s="73">
        <f t="shared" ref="AE17:AE18" si="22">IF(U17="x",5%,0)</f>
        <v>0</v>
      </c>
    </row>
    <row r="18" spans="1:31" ht="33" customHeight="1">
      <c r="A18" s="158"/>
      <c r="B18" s="162" t="s">
        <v>239</v>
      </c>
      <c r="C18" s="159" t="s">
        <v>65</v>
      </c>
      <c r="D18" s="154" t="s">
        <v>66</v>
      </c>
      <c r="E18" s="155">
        <v>18</v>
      </c>
      <c r="F18" s="157" t="s">
        <v>240</v>
      </c>
      <c r="G18" s="156">
        <v>2</v>
      </c>
      <c r="H18" s="157" t="s">
        <v>241</v>
      </c>
      <c r="I18" s="79" t="str">
        <f t="shared" si="20"/>
        <v>Baixa</v>
      </c>
      <c r="J18" s="66" t="str">
        <f t="shared" si="1"/>
        <v>ALIL</v>
      </c>
      <c r="K18" s="67">
        <f t="shared" si="21"/>
        <v>7</v>
      </c>
      <c r="L18" s="70" t="str">
        <f t="shared" si="3"/>
        <v>L</v>
      </c>
      <c r="M18" s="69" t="str">
        <f t="shared" si="4"/>
        <v>ALII</v>
      </c>
      <c r="N18" s="71">
        <f t="shared" si="10"/>
        <v>7</v>
      </c>
      <c r="O18" s="78">
        <f>IFERROR(IF(NOT(ISERROR(VLOOKUP(C18,'Deflatores Sisp'!G$42:H$70,2,FALSE))),VLOOKUP(C18,'Deflatores Sisp'!G$42:H$70,2,FALSE),IF(OR(ISBLANK(D18),ISBLANK(C18)),"",VLOOKUP(D18,'Deflatores Sisp'!G$4:H$38,2,FALSE)*K18+VLOOKUP(D18,'Deflatores Sisp'!G$4:I$38,3,FALSE)))*W18,"")</f>
        <v>0.35000000000000003</v>
      </c>
      <c r="P18" s="120"/>
      <c r="Q18" s="68"/>
      <c r="R18" s="68"/>
      <c r="S18" s="68"/>
      <c r="T18" s="68" t="s">
        <v>59</v>
      </c>
      <c r="U18" s="68"/>
      <c r="V18" s="121"/>
      <c r="W18" s="121">
        <f t="shared" si="5"/>
        <v>0.05</v>
      </c>
      <c r="X18" s="118"/>
      <c r="Y18" s="4"/>
      <c r="Z18" s="73">
        <f t="shared" si="15"/>
        <v>0</v>
      </c>
      <c r="AA18" s="73">
        <f t="shared" si="16"/>
        <v>0</v>
      </c>
      <c r="AB18" s="73">
        <f t="shared" si="17"/>
        <v>0</v>
      </c>
      <c r="AC18" s="73">
        <f t="shared" si="18"/>
        <v>0</v>
      </c>
      <c r="AD18" s="73">
        <f t="shared" si="19"/>
        <v>0.05</v>
      </c>
      <c r="AE18" s="73">
        <f t="shared" si="22"/>
        <v>0</v>
      </c>
    </row>
    <row r="19" spans="1:31" ht="33" customHeight="1">
      <c r="A19" s="158"/>
      <c r="B19" s="162" t="s">
        <v>242</v>
      </c>
      <c r="C19" s="159" t="s">
        <v>65</v>
      </c>
      <c r="D19" s="154" t="s">
        <v>66</v>
      </c>
      <c r="E19" s="155">
        <v>14</v>
      </c>
      <c r="F19" s="157" t="s">
        <v>243</v>
      </c>
      <c r="G19" s="156">
        <v>2</v>
      </c>
      <c r="H19" s="157" t="s">
        <v>244</v>
      </c>
      <c r="I19" s="79" t="str">
        <f t="shared" si="0"/>
        <v>Baixa</v>
      </c>
      <c r="J19" s="66" t="str">
        <f t="shared" si="1"/>
        <v>ALIL</v>
      </c>
      <c r="K19" s="67">
        <f t="shared" si="2"/>
        <v>7</v>
      </c>
      <c r="L19" s="70" t="str">
        <f t="shared" si="3"/>
        <v>L</v>
      </c>
      <c r="M19" s="69" t="str">
        <f t="shared" si="4"/>
        <v>ALII</v>
      </c>
      <c r="N19" s="71">
        <f t="shared" si="10"/>
        <v>7</v>
      </c>
      <c r="O19" s="78">
        <f>IFERROR(IF(NOT(ISERROR(VLOOKUP(C19,'Deflatores Sisp'!G$42:H$70,2,FALSE))),VLOOKUP(C19,'Deflatores Sisp'!G$42:H$70,2,FALSE),IF(OR(ISBLANK(D19),ISBLANK(C19)),"",VLOOKUP(D19,'Deflatores Sisp'!G$4:H$38,2,FALSE)*K19+VLOOKUP(D19,'Deflatores Sisp'!G$4:I$38,3,FALSE)))*W19,"")</f>
        <v>0.35000000000000003</v>
      </c>
      <c r="P19" s="120"/>
      <c r="Q19" s="68"/>
      <c r="R19" s="68"/>
      <c r="S19" s="68"/>
      <c r="T19" s="68" t="s">
        <v>59</v>
      </c>
      <c r="U19" s="68"/>
      <c r="V19" s="121"/>
      <c r="W19" s="121">
        <f t="shared" si="5"/>
        <v>0.05</v>
      </c>
      <c r="X19" s="118"/>
      <c r="Y19" s="4"/>
      <c r="Z19" s="73">
        <f t="shared" si="15"/>
        <v>0</v>
      </c>
      <c r="AA19" s="73">
        <f t="shared" si="16"/>
        <v>0</v>
      </c>
      <c r="AB19" s="73">
        <f t="shared" si="17"/>
        <v>0</v>
      </c>
      <c r="AC19" s="73">
        <f t="shared" si="18"/>
        <v>0</v>
      </c>
      <c r="AD19" s="73">
        <f t="shared" si="19"/>
        <v>0.05</v>
      </c>
      <c r="AE19" s="73">
        <f t="shared" si="12"/>
        <v>0</v>
      </c>
    </row>
    <row r="20" spans="1:31" ht="33" customHeight="1">
      <c r="A20" s="158"/>
      <c r="B20" s="162" t="s">
        <v>245</v>
      </c>
      <c r="C20" s="159" t="s">
        <v>65</v>
      </c>
      <c r="D20" s="154" t="s">
        <v>66</v>
      </c>
      <c r="E20" s="155">
        <v>8</v>
      </c>
      <c r="F20" s="157" t="s">
        <v>246</v>
      </c>
      <c r="G20" s="156">
        <v>1</v>
      </c>
      <c r="H20" s="157" t="s">
        <v>247</v>
      </c>
      <c r="I20" s="79" t="str">
        <f t="shared" si="0"/>
        <v>Baixa</v>
      </c>
      <c r="J20" s="66" t="str">
        <f t="shared" si="1"/>
        <v>ALIL</v>
      </c>
      <c r="K20" s="67">
        <f t="shared" si="2"/>
        <v>7</v>
      </c>
      <c r="L20" s="70" t="str">
        <f t="shared" si="3"/>
        <v>L</v>
      </c>
      <c r="M20" s="69" t="str">
        <f t="shared" si="4"/>
        <v>ALII</v>
      </c>
      <c r="N20" s="71">
        <f t="shared" si="10"/>
        <v>7</v>
      </c>
      <c r="O20" s="78">
        <f>IFERROR(IF(NOT(ISERROR(VLOOKUP(C20,'Deflatores Sisp'!G$42:H$70,2,FALSE))),VLOOKUP(C20,'Deflatores Sisp'!G$42:H$70,2,FALSE),IF(OR(ISBLANK(D20),ISBLANK(C20)),"",VLOOKUP(D20,'Deflatores Sisp'!G$4:H$38,2,FALSE)*K20+VLOOKUP(D20,'Deflatores Sisp'!G$4:I$38,3,FALSE)))*W20,"")</f>
        <v>0.35000000000000003</v>
      </c>
      <c r="P20" s="120"/>
      <c r="Q20" s="68"/>
      <c r="R20" s="68"/>
      <c r="S20" s="68"/>
      <c r="T20" s="68" t="s">
        <v>59</v>
      </c>
      <c r="U20" s="68"/>
      <c r="V20" s="121"/>
      <c r="W20" s="121">
        <f t="shared" si="5"/>
        <v>0.05</v>
      </c>
      <c r="X20" s="118"/>
      <c r="Y20" s="4"/>
      <c r="Z20" s="73">
        <f t="shared" si="15"/>
        <v>0</v>
      </c>
      <c r="AA20" s="73">
        <f t="shared" si="16"/>
        <v>0</v>
      </c>
      <c r="AB20" s="73">
        <f t="shared" si="17"/>
        <v>0</v>
      </c>
      <c r="AC20" s="73">
        <f t="shared" si="18"/>
        <v>0</v>
      </c>
      <c r="AD20" s="73">
        <f t="shared" si="19"/>
        <v>0.05</v>
      </c>
      <c r="AE20" s="73">
        <f t="shared" si="12"/>
        <v>0</v>
      </c>
    </row>
    <row r="21" spans="1:31" ht="33" customHeight="1">
      <c r="A21" s="158"/>
      <c r="B21" s="162" t="s">
        <v>248</v>
      </c>
      <c r="C21" s="159" t="s">
        <v>65</v>
      </c>
      <c r="D21" s="154" t="s">
        <v>66</v>
      </c>
      <c r="E21" s="155">
        <v>10</v>
      </c>
      <c r="F21" s="157" t="s">
        <v>249</v>
      </c>
      <c r="G21" s="156">
        <v>1</v>
      </c>
      <c r="H21" s="157" t="s">
        <v>250</v>
      </c>
      <c r="I21" s="79" t="str">
        <f t="shared" ref="I21" si="23">IF(ISBLANK(C21),"",IF(L21="L","Baixa",IF(L21="A","Média",IF(L21="","","Alta"))))</f>
        <v>Baixa</v>
      </c>
      <c r="J21" s="66" t="str">
        <f t="shared" ref="J21" si="24">CONCATENATE(C21,L21)</f>
        <v>ALIL</v>
      </c>
      <c r="K21" s="67">
        <f t="shared" ref="K21" si="25">IF(ISBLANK(C21),"",IF(C21="ALI",IF(L21="L",7,IF(L21="A",10,15)),IF(C21="AIE",IF(L21="L",5,IF(L21="A",7,10)),IF(C21="SE",IF(L21="L",4,IF(L21="A",5,7)),IF(OR(C21="EE",C21="CE"),IF(L21="L",3,IF(L21="A",4,6)),0)))))</f>
        <v>7</v>
      </c>
      <c r="L21" s="70" t="str">
        <f t="shared" ref="L21" si="26">IF(OR(ISBLANK(E21),ISBLANK(G21)),IF(OR(C21="ALI",C21="AIE"),"L",IF(OR(C21="EE",C21="SE",C21="CE"),"A","")),IF(C21="EE",IF(G21&gt;=3,IF(E21&gt;=5,"H","A"),IF(G21&gt;=2,IF(E21&gt;=16,"H",IF(E21&lt;=4,"L","A")),IF(E21&lt;=15,"L","A"))),IF(OR(C21="SE",C21="CE"),IF(G21&gt;=4,IF(E21&gt;=6,"H","A"),IF(G21&gt;=2,IF(E21&gt;=20,"H",IF(E21&lt;=5,"L","A")),IF(E21&lt;=19,"L","A"))),IF(OR(C21="ALI",C21="AIE"),IF(G21&gt;=6,IF(E21&gt;=20,"H","A"),IF(G21&gt;=2,IF(E21&gt;=51,"H",IF(E21&lt;=19,"L","A")),IF(E21&lt;=50,"L","A"))),""))))</f>
        <v>L</v>
      </c>
      <c r="M21" s="69" t="str">
        <f t="shared" ref="M21" si="27">CONCATENATE(C21,D21)</f>
        <v>ALII</v>
      </c>
      <c r="N21" s="71">
        <f t="shared" ref="N21" si="28">IF(OR(K21="",K21=0),O21,K21)</f>
        <v>7</v>
      </c>
      <c r="O21" s="78">
        <f>IFERROR(IF(NOT(ISERROR(VLOOKUP(C21,'Deflatores Sisp'!G$42:H$70,2,FALSE))),VLOOKUP(C21,'Deflatores Sisp'!G$42:H$70,2,FALSE),IF(OR(ISBLANK(D21),ISBLANK(C21)),"",VLOOKUP(D21,'Deflatores Sisp'!G$4:H$38,2,FALSE)*K21+VLOOKUP(D21,'Deflatores Sisp'!G$4:I$38,3,FALSE)))*W21,"")</f>
        <v>0.35000000000000003</v>
      </c>
      <c r="P21" s="120"/>
      <c r="Q21" s="68"/>
      <c r="R21" s="68"/>
      <c r="S21" s="68"/>
      <c r="T21" s="68" t="s">
        <v>59</v>
      </c>
      <c r="U21" s="68"/>
      <c r="V21" s="121"/>
      <c r="W21" s="121">
        <f t="shared" ref="W21:W84" si="29">IF(V21="",SUM(Z21:AE21),IF(C21="PA",E21,100%))</f>
        <v>0.05</v>
      </c>
      <c r="X21" s="118"/>
      <c r="Y21" s="4"/>
      <c r="Z21" s="73">
        <f>IF(P21="x",25%,0)</f>
        <v>0</v>
      </c>
      <c r="AA21" s="73">
        <f>IF(Q21="x",10%,0)</f>
        <v>0</v>
      </c>
      <c r="AB21" s="73">
        <f>IF(R21="x",40%,0)</f>
        <v>0</v>
      </c>
      <c r="AC21" s="73">
        <f>IF(S21="x",15%,0)</f>
        <v>0</v>
      </c>
      <c r="AD21" s="73">
        <f>IF(T21="x",5%,0)</f>
        <v>0.05</v>
      </c>
      <c r="AE21" s="73">
        <f t="shared" ref="AE21" si="30">IF(U21="x",5%,0)</f>
        <v>0</v>
      </c>
    </row>
    <row r="22" spans="1:31" ht="33" customHeight="1">
      <c r="A22" s="158"/>
      <c r="B22" s="162" t="s">
        <v>251</v>
      </c>
      <c r="C22" s="159" t="s">
        <v>65</v>
      </c>
      <c r="D22" s="154" t="s">
        <v>66</v>
      </c>
      <c r="E22" s="155">
        <v>22</v>
      </c>
      <c r="F22" s="157" t="s">
        <v>252</v>
      </c>
      <c r="G22" s="156">
        <v>2</v>
      </c>
      <c r="H22" s="157" t="s">
        <v>253</v>
      </c>
      <c r="I22" s="79" t="str">
        <f t="shared" si="0"/>
        <v>Média</v>
      </c>
      <c r="J22" s="66" t="str">
        <f t="shared" si="1"/>
        <v>ALIA</v>
      </c>
      <c r="K22" s="67">
        <f t="shared" si="2"/>
        <v>10</v>
      </c>
      <c r="L22" s="70" t="str">
        <f t="shared" si="3"/>
        <v>A</v>
      </c>
      <c r="M22" s="69" t="str">
        <f t="shared" si="4"/>
        <v>ALII</v>
      </c>
      <c r="N22" s="71">
        <f t="shared" si="10"/>
        <v>10</v>
      </c>
      <c r="O22" s="78">
        <f>IFERROR(IF(NOT(ISERROR(VLOOKUP(C22,'Deflatores Sisp'!G$42:H$70,2,FALSE))),VLOOKUP(C22,'Deflatores Sisp'!G$42:H$70,2,FALSE),IF(OR(ISBLANK(D22),ISBLANK(C22)),"",VLOOKUP(D22,'Deflatores Sisp'!G$4:H$38,2,FALSE)*K22+VLOOKUP(D22,'Deflatores Sisp'!G$4:I$38,3,FALSE)))*W22,"")</f>
        <v>0.5</v>
      </c>
      <c r="P22" s="120"/>
      <c r="Q22" s="68"/>
      <c r="R22" s="68"/>
      <c r="S22" s="68"/>
      <c r="T22" s="68" t="s">
        <v>59</v>
      </c>
      <c r="U22" s="68"/>
      <c r="V22" s="121"/>
      <c r="W22" s="121">
        <f t="shared" si="29"/>
        <v>0.05</v>
      </c>
      <c r="X22" s="118"/>
      <c r="Y22" s="4"/>
      <c r="Z22" s="73">
        <f>IF(P22="x",25%,0)</f>
        <v>0</v>
      </c>
      <c r="AA22" s="73">
        <f>IF(Q22="x",10%,0)</f>
        <v>0</v>
      </c>
      <c r="AB22" s="73">
        <f>IF(R22="x",40%,0)</f>
        <v>0</v>
      </c>
      <c r="AC22" s="73">
        <f>IF(S22="x",15%,0)</f>
        <v>0</v>
      </c>
      <c r="AD22" s="73">
        <f>IF(T22="x",5%,0)</f>
        <v>0.05</v>
      </c>
      <c r="AE22" s="73">
        <f t="shared" si="12"/>
        <v>0</v>
      </c>
    </row>
    <row r="23" spans="1:31" ht="33" customHeight="1">
      <c r="A23" s="158"/>
      <c r="B23" s="162" t="s">
        <v>254</v>
      </c>
      <c r="C23" s="159" t="s">
        <v>65</v>
      </c>
      <c r="D23" s="154" t="s">
        <v>66</v>
      </c>
      <c r="E23" s="155">
        <v>15</v>
      </c>
      <c r="F23" s="157" t="s">
        <v>255</v>
      </c>
      <c r="G23" s="156">
        <v>1</v>
      </c>
      <c r="H23" s="157" t="s">
        <v>256</v>
      </c>
      <c r="I23" s="79" t="str">
        <f t="shared" ref="I23:I24" si="31">IF(ISBLANK(C23),"",IF(L23="L","Baixa",IF(L23="A","Média",IF(L23="","","Alta"))))</f>
        <v>Baixa</v>
      </c>
      <c r="J23" s="66" t="str">
        <f t="shared" si="1"/>
        <v>ALIL</v>
      </c>
      <c r="K23" s="67">
        <f t="shared" ref="K23:K24" si="32">IF(ISBLANK(C23),"",IF(C23="ALI",IF(L23="L",7,IF(L23="A",10,15)),IF(C23="AIE",IF(L23="L",5,IF(L23="A",7,10)),IF(C23="SE",IF(L23="L",4,IF(L23="A",5,7)),IF(OR(C23="EE",C23="CE"),IF(L23="L",3,IF(L23="A",4,6)),0)))))</f>
        <v>7</v>
      </c>
      <c r="L23" s="70" t="str">
        <f t="shared" si="3"/>
        <v>L</v>
      </c>
      <c r="M23" s="69" t="str">
        <f t="shared" si="4"/>
        <v>ALII</v>
      </c>
      <c r="N23" s="71">
        <f t="shared" si="10"/>
        <v>7</v>
      </c>
      <c r="O23" s="78">
        <f>IFERROR(IF(NOT(ISERROR(VLOOKUP(C23,'Deflatores Sisp'!G$42:H$70,2,FALSE))),VLOOKUP(C23,'Deflatores Sisp'!G$42:H$70,2,FALSE),IF(OR(ISBLANK(D23),ISBLANK(C23)),"",VLOOKUP(D23,'Deflatores Sisp'!G$4:H$38,2,FALSE)*K23+VLOOKUP(D23,'Deflatores Sisp'!G$4:I$38,3,FALSE)))*W23,"")</f>
        <v>0.35000000000000003</v>
      </c>
      <c r="P23" s="120"/>
      <c r="Q23" s="68"/>
      <c r="R23" s="68"/>
      <c r="S23" s="68"/>
      <c r="T23" s="68" t="s">
        <v>59</v>
      </c>
      <c r="U23" s="68"/>
      <c r="V23" s="121"/>
      <c r="W23" s="121">
        <f t="shared" si="29"/>
        <v>0.05</v>
      </c>
      <c r="X23" s="118"/>
      <c r="Y23" s="4"/>
      <c r="Z23" s="73">
        <f>IF(P23="x",25%,0)</f>
        <v>0</v>
      </c>
      <c r="AA23" s="73">
        <f>IF(Q23="x",10%,0)</f>
        <v>0</v>
      </c>
      <c r="AB23" s="73">
        <f>IF(R23="x",40%,0)</f>
        <v>0</v>
      </c>
      <c r="AC23" s="73">
        <f>IF(S23="x",15%,0)</f>
        <v>0</v>
      </c>
      <c r="AD23" s="73">
        <f>IF(T23="x",5%,0)</f>
        <v>0.05</v>
      </c>
      <c r="AE23" s="73">
        <f t="shared" ref="AE23:AE24" si="33">IF(U23="x",5%,0)</f>
        <v>0</v>
      </c>
    </row>
    <row r="24" spans="1:31" ht="33" customHeight="1">
      <c r="A24" s="158"/>
      <c r="B24" s="162" t="s">
        <v>257</v>
      </c>
      <c r="C24" s="159" t="s">
        <v>65</v>
      </c>
      <c r="D24" s="154" t="s">
        <v>66</v>
      </c>
      <c r="E24" s="155">
        <v>13</v>
      </c>
      <c r="F24" s="157" t="s">
        <v>258</v>
      </c>
      <c r="G24" s="156">
        <v>1</v>
      </c>
      <c r="H24" s="157" t="s">
        <v>259</v>
      </c>
      <c r="I24" s="79" t="str">
        <f t="shared" si="31"/>
        <v>Baixa</v>
      </c>
      <c r="J24" s="66" t="str">
        <f t="shared" si="1"/>
        <v>ALIL</v>
      </c>
      <c r="K24" s="67">
        <f t="shared" si="32"/>
        <v>7</v>
      </c>
      <c r="L24" s="70" t="str">
        <f t="shared" si="3"/>
        <v>L</v>
      </c>
      <c r="M24" s="69" t="str">
        <f t="shared" si="4"/>
        <v>ALII</v>
      </c>
      <c r="N24" s="71">
        <f t="shared" si="10"/>
        <v>7</v>
      </c>
      <c r="O24" s="78">
        <f>IFERROR(IF(NOT(ISERROR(VLOOKUP(C24,'Deflatores Sisp'!G$42:H$70,2,FALSE))),VLOOKUP(C24,'Deflatores Sisp'!G$42:H$70,2,FALSE),IF(OR(ISBLANK(D24),ISBLANK(C24)),"",VLOOKUP(D24,'Deflatores Sisp'!G$4:H$38,2,FALSE)*K24+VLOOKUP(D24,'Deflatores Sisp'!G$4:I$38,3,FALSE)))*W24,"")</f>
        <v>0.35000000000000003</v>
      </c>
      <c r="P24" s="120"/>
      <c r="Q24" s="68"/>
      <c r="R24" s="68"/>
      <c r="S24" s="68"/>
      <c r="T24" s="68" t="s">
        <v>59</v>
      </c>
      <c r="U24" s="68"/>
      <c r="V24" s="121"/>
      <c r="W24" s="121">
        <f t="shared" si="29"/>
        <v>0.05</v>
      </c>
      <c r="X24" s="118"/>
      <c r="Y24" s="4"/>
      <c r="Z24" s="73">
        <f t="shared" ref="Z24:Z47" si="34">IF(P24="x",25%,0)</f>
        <v>0</v>
      </c>
      <c r="AA24" s="73">
        <f t="shared" ref="AA24:AA47" si="35">IF(Q24="x",10%,0)</f>
        <v>0</v>
      </c>
      <c r="AB24" s="73">
        <f t="shared" ref="AB24:AB47" si="36">IF(R24="x",40%,0)</f>
        <v>0</v>
      </c>
      <c r="AC24" s="73">
        <f t="shared" ref="AC24:AC47" si="37">IF(S24="x",15%,0)</f>
        <v>0</v>
      </c>
      <c r="AD24" s="73">
        <f t="shared" ref="AD24:AD47" si="38">IF(T24="x",5%,0)</f>
        <v>0.05</v>
      </c>
      <c r="AE24" s="73">
        <f t="shared" si="33"/>
        <v>0</v>
      </c>
    </row>
    <row r="25" spans="1:31" ht="33" customHeight="1">
      <c r="A25" s="158"/>
      <c r="B25" s="162" t="s">
        <v>260</v>
      </c>
      <c r="C25" s="159" t="s">
        <v>65</v>
      </c>
      <c r="D25" s="154" t="s">
        <v>66</v>
      </c>
      <c r="E25" s="155">
        <v>11</v>
      </c>
      <c r="F25" s="157" t="s">
        <v>261</v>
      </c>
      <c r="G25" s="156">
        <v>1</v>
      </c>
      <c r="H25" s="157" t="s">
        <v>262</v>
      </c>
      <c r="I25" s="79" t="str">
        <f t="shared" si="0"/>
        <v>Baixa</v>
      </c>
      <c r="J25" s="66" t="str">
        <f t="shared" si="1"/>
        <v>ALIL</v>
      </c>
      <c r="K25" s="67">
        <f t="shared" si="2"/>
        <v>7</v>
      </c>
      <c r="L25" s="70" t="str">
        <f t="shared" si="3"/>
        <v>L</v>
      </c>
      <c r="M25" s="69" t="str">
        <f t="shared" si="4"/>
        <v>ALII</v>
      </c>
      <c r="N25" s="71">
        <f t="shared" si="10"/>
        <v>7</v>
      </c>
      <c r="O25" s="78">
        <f>IFERROR(IF(NOT(ISERROR(VLOOKUP(C25,'Deflatores Sisp'!G$42:H$70,2,FALSE))),VLOOKUP(C25,'Deflatores Sisp'!G$42:H$70,2,FALSE),IF(OR(ISBLANK(D25),ISBLANK(C25)),"",VLOOKUP(D25,'Deflatores Sisp'!G$4:H$38,2,FALSE)*K25+VLOOKUP(D25,'Deflatores Sisp'!G$4:I$38,3,FALSE)))*W25,"")</f>
        <v>0.35000000000000003</v>
      </c>
      <c r="P25" s="120"/>
      <c r="Q25" s="68"/>
      <c r="R25" s="68"/>
      <c r="S25" s="68"/>
      <c r="T25" s="68" t="s">
        <v>59</v>
      </c>
      <c r="U25" s="68"/>
      <c r="V25" s="121"/>
      <c r="W25" s="121">
        <f t="shared" si="29"/>
        <v>0.05</v>
      </c>
      <c r="X25" s="118"/>
      <c r="Y25" s="4"/>
      <c r="Z25" s="73">
        <f t="shared" si="34"/>
        <v>0</v>
      </c>
      <c r="AA25" s="73">
        <f t="shared" si="35"/>
        <v>0</v>
      </c>
      <c r="AB25" s="73">
        <f t="shared" si="36"/>
        <v>0</v>
      </c>
      <c r="AC25" s="73">
        <f t="shared" si="37"/>
        <v>0</v>
      </c>
      <c r="AD25" s="73">
        <f t="shared" si="38"/>
        <v>0.05</v>
      </c>
      <c r="AE25" s="73">
        <f t="shared" si="12"/>
        <v>0</v>
      </c>
    </row>
    <row r="26" spans="1:31" ht="33" customHeight="1">
      <c r="A26" s="158"/>
      <c r="B26" s="162" t="s">
        <v>263</v>
      </c>
      <c r="C26" s="159" t="s">
        <v>65</v>
      </c>
      <c r="D26" s="154" t="s">
        <v>66</v>
      </c>
      <c r="E26" s="155">
        <v>11</v>
      </c>
      <c r="F26" s="157" t="s">
        <v>264</v>
      </c>
      <c r="G26" s="156">
        <v>1</v>
      </c>
      <c r="H26" s="157" t="s">
        <v>265</v>
      </c>
      <c r="I26" s="79" t="str">
        <f t="shared" si="0"/>
        <v>Baixa</v>
      </c>
      <c r="J26" s="66" t="str">
        <f t="shared" si="1"/>
        <v>ALIL</v>
      </c>
      <c r="K26" s="67">
        <f t="shared" si="2"/>
        <v>7</v>
      </c>
      <c r="L26" s="70" t="str">
        <f t="shared" si="3"/>
        <v>L</v>
      </c>
      <c r="M26" s="69" t="str">
        <f t="shared" si="4"/>
        <v>ALII</v>
      </c>
      <c r="N26" s="71">
        <f t="shared" si="10"/>
        <v>7</v>
      </c>
      <c r="O26" s="78">
        <f>IFERROR(IF(NOT(ISERROR(VLOOKUP(C26,'Deflatores Sisp'!G$42:H$70,2,FALSE))),VLOOKUP(C26,'Deflatores Sisp'!G$42:H$70,2,FALSE),IF(OR(ISBLANK(D26),ISBLANK(C26)),"",VLOOKUP(D26,'Deflatores Sisp'!G$4:H$38,2,FALSE)*K26+VLOOKUP(D26,'Deflatores Sisp'!G$4:I$38,3,FALSE)))*W26,"")</f>
        <v>0.35000000000000003</v>
      </c>
      <c r="P26" s="120"/>
      <c r="Q26" s="68"/>
      <c r="R26" s="68"/>
      <c r="S26" s="68"/>
      <c r="T26" s="68" t="s">
        <v>59</v>
      </c>
      <c r="U26" s="68"/>
      <c r="V26" s="121"/>
      <c r="W26" s="121">
        <f t="shared" si="29"/>
        <v>0.05</v>
      </c>
      <c r="X26" s="118"/>
      <c r="Y26" s="4"/>
      <c r="Z26" s="73">
        <f t="shared" si="34"/>
        <v>0</v>
      </c>
      <c r="AA26" s="73">
        <f t="shared" si="35"/>
        <v>0</v>
      </c>
      <c r="AB26" s="73">
        <f t="shared" si="36"/>
        <v>0</v>
      </c>
      <c r="AC26" s="73">
        <f t="shared" si="37"/>
        <v>0</v>
      </c>
      <c r="AD26" s="73">
        <f t="shared" si="38"/>
        <v>0.05</v>
      </c>
      <c r="AE26" s="73">
        <f t="shared" si="12"/>
        <v>0</v>
      </c>
    </row>
    <row r="27" spans="1:31" ht="33" customHeight="1">
      <c r="A27" s="158"/>
      <c r="B27" s="162" t="s">
        <v>266</v>
      </c>
      <c r="C27" s="159" t="s">
        <v>65</v>
      </c>
      <c r="D27" s="154" t="s">
        <v>66</v>
      </c>
      <c r="E27" s="155">
        <v>10</v>
      </c>
      <c r="F27" s="157" t="s">
        <v>267</v>
      </c>
      <c r="G27" s="156">
        <v>1</v>
      </c>
      <c r="H27" s="157" t="s">
        <v>268</v>
      </c>
      <c r="I27" s="79" t="str">
        <f t="shared" si="0"/>
        <v>Baixa</v>
      </c>
      <c r="J27" s="66" t="str">
        <f t="shared" si="1"/>
        <v>ALIL</v>
      </c>
      <c r="K27" s="67">
        <f t="shared" si="2"/>
        <v>7</v>
      </c>
      <c r="L27" s="70" t="str">
        <f t="shared" si="3"/>
        <v>L</v>
      </c>
      <c r="M27" s="69" t="str">
        <f t="shared" si="4"/>
        <v>ALII</v>
      </c>
      <c r="N27" s="71">
        <f t="shared" si="10"/>
        <v>7</v>
      </c>
      <c r="O27" s="78">
        <f>IFERROR(IF(NOT(ISERROR(VLOOKUP(C27,'Deflatores Sisp'!G$42:H$70,2,FALSE))),VLOOKUP(C27,'Deflatores Sisp'!G$42:H$70,2,FALSE),IF(OR(ISBLANK(D27),ISBLANK(C27)),"",VLOOKUP(D27,'Deflatores Sisp'!G$4:H$38,2,FALSE)*K27+VLOOKUP(D27,'Deflatores Sisp'!G$4:I$38,3,FALSE)))*W27,"")</f>
        <v>0.35000000000000003</v>
      </c>
      <c r="P27" s="120"/>
      <c r="Q27" s="68"/>
      <c r="R27" s="68"/>
      <c r="S27" s="68"/>
      <c r="T27" s="68" t="s">
        <v>59</v>
      </c>
      <c r="U27" s="68"/>
      <c r="V27" s="121"/>
      <c r="W27" s="121">
        <f t="shared" si="29"/>
        <v>0.05</v>
      </c>
      <c r="X27" s="118"/>
      <c r="Y27" s="4"/>
      <c r="Z27" s="73">
        <f t="shared" si="34"/>
        <v>0</v>
      </c>
      <c r="AA27" s="73">
        <f t="shared" si="35"/>
        <v>0</v>
      </c>
      <c r="AB27" s="73">
        <f t="shared" si="36"/>
        <v>0</v>
      </c>
      <c r="AC27" s="73">
        <f t="shared" si="37"/>
        <v>0</v>
      </c>
      <c r="AD27" s="73">
        <f t="shared" si="38"/>
        <v>0.05</v>
      </c>
      <c r="AE27" s="73">
        <f t="shared" si="12"/>
        <v>0</v>
      </c>
    </row>
    <row r="28" spans="1:31" ht="33" customHeight="1">
      <c r="A28" s="158"/>
      <c r="B28" s="162" t="s">
        <v>269</v>
      </c>
      <c r="C28" s="159" t="s">
        <v>65</v>
      </c>
      <c r="D28" s="154" t="s">
        <v>66</v>
      </c>
      <c r="E28" s="155">
        <v>7</v>
      </c>
      <c r="F28" s="157" t="s">
        <v>270</v>
      </c>
      <c r="G28" s="156">
        <v>1</v>
      </c>
      <c r="H28" s="157" t="s">
        <v>271</v>
      </c>
      <c r="I28" s="79" t="str">
        <f t="shared" ref="I28:I108" si="39">IF(ISBLANK(C28),"",IF(L28="L","Baixa",IF(L28="A","Média",IF(L28="","","Alta"))))</f>
        <v>Baixa</v>
      </c>
      <c r="J28" s="66" t="str">
        <f t="shared" si="1"/>
        <v>ALIL</v>
      </c>
      <c r="K28" s="67">
        <f t="shared" ref="K28:K108" si="40">IF(ISBLANK(C28),"",IF(C28="ALI",IF(L28="L",7,IF(L28="A",10,15)),IF(C28="AIE",IF(L28="L",5,IF(L28="A",7,10)),IF(C28="SE",IF(L28="L",4,IF(L28="A",5,7)),IF(OR(C28="EE",C28="CE"),IF(L28="L",3,IF(L28="A",4,6)),0)))))</f>
        <v>7</v>
      </c>
      <c r="L28" s="70" t="str">
        <f t="shared" si="3"/>
        <v>L</v>
      </c>
      <c r="M28" s="69" t="str">
        <f t="shared" si="4"/>
        <v>ALII</v>
      </c>
      <c r="N28" s="71">
        <f t="shared" si="10"/>
        <v>7</v>
      </c>
      <c r="O28" s="78">
        <f>IFERROR(IF(NOT(ISERROR(VLOOKUP(C28,'Deflatores Sisp'!G$42:H$70,2,FALSE))),VLOOKUP(C28,'Deflatores Sisp'!G$42:H$70,2,FALSE),IF(OR(ISBLANK(D28),ISBLANK(C28)),"",VLOOKUP(D28,'Deflatores Sisp'!G$4:H$38,2,FALSE)*K28+VLOOKUP(D28,'Deflatores Sisp'!G$4:I$38,3,FALSE)))*W28,"")</f>
        <v>0.35000000000000003</v>
      </c>
      <c r="P28" s="120"/>
      <c r="Q28" s="68"/>
      <c r="R28" s="68"/>
      <c r="S28" s="68"/>
      <c r="T28" s="68" t="s">
        <v>59</v>
      </c>
      <c r="U28" s="68"/>
      <c r="V28" s="121"/>
      <c r="W28" s="121">
        <f t="shared" si="29"/>
        <v>0.05</v>
      </c>
      <c r="X28" s="118"/>
      <c r="Y28" s="4"/>
      <c r="Z28" s="73">
        <f t="shared" si="34"/>
        <v>0</v>
      </c>
      <c r="AA28" s="73">
        <f t="shared" si="35"/>
        <v>0</v>
      </c>
      <c r="AB28" s="73">
        <f t="shared" si="36"/>
        <v>0</v>
      </c>
      <c r="AC28" s="73">
        <f t="shared" si="37"/>
        <v>0</v>
      </c>
      <c r="AD28" s="73">
        <f t="shared" si="38"/>
        <v>0.05</v>
      </c>
      <c r="AE28" s="73">
        <f>IF(U28="x",5%,0)</f>
        <v>0</v>
      </c>
    </row>
    <row r="29" spans="1:31" ht="33" customHeight="1">
      <c r="A29" s="158"/>
      <c r="B29" s="162" t="s">
        <v>272</v>
      </c>
      <c r="C29" s="159" t="s">
        <v>60</v>
      </c>
      <c r="D29" s="154" t="s">
        <v>66</v>
      </c>
      <c r="E29" s="155">
        <v>10</v>
      </c>
      <c r="F29" s="157" t="s">
        <v>273</v>
      </c>
      <c r="G29" s="156">
        <v>2</v>
      </c>
      <c r="H29" s="157" t="s">
        <v>274</v>
      </c>
      <c r="I29" s="79" t="str">
        <f t="shared" si="39"/>
        <v>Média</v>
      </c>
      <c r="J29" s="66" t="str">
        <f t="shared" si="1"/>
        <v>EEA</v>
      </c>
      <c r="K29" s="67">
        <f t="shared" si="40"/>
        <v>4</v>
      </c>
      <c r="L29" s="70" t="str">
        <f t="shared" si="3"/>
        <v>A</v>
      </c>
      <c r="M29" s="69" t="str">
        <f t="shared" si="4"/>
        <v>EEI</v>
      </c>
      <c r="N29" s="71">
        <f t="shared" si="10"/>
        <v>4</v>
      </c>
      <c r="O29" s="78">
        <f>IFERROR(IF(NOT(ISERROR(VLOOKUP(C29,'Deflatores Sisp'!G$42:H$70,2,FALSE))),VLOOKUP(C29,'Deflatores Sisp'!G$42:H$70,2,FALSE),IF(OR(ISBLANK(D29),ISBLANK(C29)),"",VLOOKUP(D29,'Deflatores Sisp'!G$4:H$38,2,FALSE)*K29+VLOOKUP(D29,'Deflatores Sisp'!G$4:I$38,3,FALSE)))*W29,"")</f>
        <v>0.2</v>
      </c>
      <c r="P29" s="120"/>
      <c r="Q29" s="68"/>
      <c r="R29" s="68"/>
      <c r="S29" s="68"/>
      <c r="T29" s="68" t="s">
        <v>59</v>
      </c>
      <c r="U29" s="68"/>
      <c r="V29" s="121"/>
      <c r="W29" s="121">
        <f t="shared" si="29"/>
        <v>0.05</v>
      </c>
      <c r="X29" s="119"/>
      <c r="Y29" s="4"/>
      <c r="Z29" s="73">
        <f t="shared" si="34"/>
        <v>0</v>
      </c>
      <c r="AA29" s="73">
        <f t="shared" si="35"/>
        <v>0</v>
      </c>
      <c r="AB29" s="73">
        <f t="shared" si="36"/>
        <v>0</v>
      </c>
      <c r="AC29" s="73">
        <f t="shared" si="37"/>
        <v>0</v>
      </c>
      <c r="AD29" s="73">
        <f t="shared" si="38"/>
        <v>0.05</v>
      </c>
      <c r="AE29" s="73">
        <f t="shared" si="12"/>
        <v>0</v>
      </c>
    </row>
    <row r="30" spans="1:31" ht="33" customHeight="1">
      <c r="A30" s="158"/>
      <c r="B30" s="162" t="s">
        <v>275</v>
      </c>
      <c r="C30" s="159" t="s">
        <v>60</v>
      </c>
      <c r="D30" s="154" t="s">
        <v>66</v>
      </c>
      <c r="E30" s="155">
        <v>12</v>
      </c>
      <c r="F30" s="157" t="s">
        <v>276</v>
      </c>
      <c r="G30" s="156">
        <v>2</v>
      </c>
      <c r="H30" s="157" t="s">
        <v>277</v>
      </c>
      <c r="I30" s="79" t="str">
        <f t="shared" si="39"/>
        <v>Média</v>
      </c>
      <c r="J30" s="66" t="str">
        <f t="shared" si="1"/>
        <v>EEA</v>
      </c>
      <c r="K30" s="67">
        <f t="shared" si="40"/>
        <v>4</v>
      </c>
      <c r="L30" s="70" t="str">
        <f t="shared" si="3"/>
        <v>A</v>
      </c>
      <c r="M30" s="69" t="str">
        <f t="shared" si="4"/>
        <v>EEI</v>
      </c>
      <c r="N30" s="71">
        <f t="shared" si="10"/>
        <v>4</v>
      </c>
      <c r="O30" s="78">
        <f>IFERROR(IF(NOT(ISERROR(VLOOKUP(C30,'Deflatores Sisp'!G$42:H$70,2,FALSE))),VLOOKUP(C30,'Deflatores Sisp'!G$42:H$70,2,FALSE),IF(OR(ISBLANK(D30),ISBLANK(C30)),"",VLOOKUP(D30,'Deflatores Sisp'!G$4:H$38,2,FALSE)*K30+VLOOKUP(D30,'Deflatores Sisp'!G$4:I$38,3,FALSE)))*W30,"")</f>
        <v>0.2</v>
      </c>
      <c r="P30" s="120"/>
      <c r="Q30" s="68"/>
      <c r="R30" s="68"/>
      <c r="S30" s="68"/>
      <c r="T30" s="68" t="s">
        <v>59</v>
      </c>
      <c r="U30" s="68"/>
      <c r="V30" s="121"/>
      <c r="W30" s="121">
        <f t="shared" si="29"/>
        <v>0.05</v>
      </c>
      <c r="X30" s="118"/>
      <c r="Y30" s="4"/>
      <c r="Z30" s="73">
        <f t="shared" si="34"/>
        <v>0</v>
      </c>
      <c r="AA30" s="73">
        <f t="shared" si="35"/>
        <v>0</v>
      </c>
      <c r="AB30" s="73">
        <f t="shared" si="36"/>
        <v>0</v>
      </c>
      <c r="AC30" s="73">
        <f t="shared" si="37"/>
        <v>0</v>
      </c>
      <c r="AD30" s="73">
        <f t="shared" si="38"/>
        <v>0.05</v>
      </c>
      <c r="AE30" s="73">
        <f t="shared" ref="AE30:AE31" si="41">IF(U30="x",5%,0)</f>
        <v>0</v>
      </c>
    </row>
    <row r="31" spans="1:31" ht="33" customHeight="1">
      <c r="A31" s="158"/>
      <c r="B31" s="162" t="s">
        <v>278</v>
      </c>
      <c r="C31" s="159" t="s">
        <v>60</v>
      </c>
      <c r="D31" s="154" t="s">
        <v>66</v>
      </c>
      <c r="E31" s="155">
        <v>3</v>
      </c>
      <c r="F31" s="157" t="s">
        <v>279</v>
      </c>
      <c r="G31" s="156">
        <v>1</v>
      </c>
      <c r="H31" s="157" t="s">
        <v>280</v>
      </c>
      <c r="I31" s="79" t="str">
        <f t="shared" si="39"/>
        <v>Baixa</v>
      </c>
      <c r="J31" s="66" t="str">
        <f t="shared" si="1"/>
        <v>EEL</v>
      </c>
      <c r="K31" s="67">
        <f t="shared" si="40"/>
        <v>3</v>
      </c>
      <c r="L31" s="70" t="str">
        <f t="shared" si="3"/>
        <v>L</v>
      </c>
      <c r="M31" s="69" t="str">
        <f t="shared" si="4"/>
        <v>EEI</v>
      </c>
      <c r="N31" s="71">
        <f t="shared" si="10"/>
        <v>3</v>
      </c>
      <c r="O31" s="78">
        <f>IFERROR(IF(NOT(ISERROR(VLOOKUP(C31,'Deflatores Sisp'!G$42:H$70,2,FALSE))),VLOOKUP(C31,'Deflatores Sisp'!G$42:H$70,2,FALSE),IF(OR(ISBLANK(D31),ISBLANK(C31)),"",VLOOKUP(D31,'Deflatores Sisp'!G$4:H$38,2,FALSE)*K31+VLOOKUP(D31,'Deflatores Sisp'!G$4:I$38,3,FALSE)))*W31,"")</f>
        <v>0.15000000000000002</v>
      </c>
      <c r="P31" s="120"/>
      <c r="Q31" s="68"/>
      <c r="R31" s="68"/>
      <c r="S31" s="68"/>
      <c r="T31" s="68" t="s">
        <v>59</v>
      </c>
      <c r="U31" s="68"/>
      <c r="V31" s="121"/>
      <c r="W31" s="121">
        <f t="shared" si="29"/>
        <v>0.05</v>
      </c>
      <c r="X31" s="118"/>
      <c r="Y31" s="4"/>
      <c r="Z31" s="73">
        <f t="shared" si="34"/>
        <v>0</v>
      </c>
      <c r="AA31" s="73">
        <f t="shared" si="35"/>
        <v>0</v>
      </c>
      <c r="AB31" s="73">
        <f t="shared" si="36"/>
        <v>0</v>
      </c>
      <c r="AC31" s="73">
        <f t="shared" si="37"/>
        <v>0</v>
      </c>
      <c r="AD31" s="73">
        <f t="shared" si="38"/>
        <v>0.05</v>
      </c>
      <c r="AE31" s="73">
        <f t="shared" si="41"/>
        <v>0</v>
      </c>
    </row>
    <row r="32" spans="1:31" ht="33" customHeight="1">
      <c r="A32" s="158"/>
      <c r="B32" s="162" t="s">
        <v>281</v>
      </c>
      <c r="C32" s="159" t="s">
        <v>60</v>
      </c>
      <c r="D32" s="154" t="s">
        <v>66</v>
      </c>
      <c r="E32" s="155">
        <v>4</v>
      </c>
      <c r="F32" s="157" t="s">
        <v>282</v>
      </c>
      <c r="G32" s="156">
        <v>1</v>
      </c>
      <c r="H32" s="157" t="s">
        <v>283</v>
      </c>
      <c r="I32" s="79" t="str">
        <f t="shared" si="39"/>
        <v>Baixa</v>
      </c>
      <c r="J32" s="66" t="str">
        <f t="shared" si="1"/>
        <v>EEL</v>
      </c>
      <c r="K32" s="67">
        <f t="shared" si="40"/>
        <v>3</v>
      </c>
      <c r="L32" s="70" t="str">
        <f t="shared" si="3"/>
        <v>L</v>
      </c>
      <c r="M32" s="69" t="str">
        <f t="shared" si="4"/>
        <v>EEI</v>
      </c>
      <c r="N32" s="71">
        <f t="shared" si="10"/>
        <v>3</v>
      </c>
      <c r="O32" s="78">
        <f>IFERROR(IF(NOT(ISERROR(VLOOKUP(C32,'Deflatores Sisp'!G$42:H$70,2,FALSE))),VLOOKUP(C32,'Deflatores Sisp'!G$42:H$70,2,FALSE),IF(OR(ISBLANK(D32),ISBLANK(C32)),"",VLOOKUP(D32,'Deflatores Sisp'!G$4:H$38,2,FALSE)*K32+VLOOKUP(D32,'Deflatores Sisp'!G$4:I$38,3,FALSE)))*W32,"")</f>
        <v>0.15000000000000002</v>
      </c>
      <c r="P32" s="120"/>
      <c r="Q32" s="68"/>
      <c r="R32" s="68"/>
      <c r="S32" s="68"/>
      <c r="T32" s="68" t="s">
        <v>59</v>
      </c>
      <c r="U32" s="68"/>
      <c r="V32" s="121"/>
      <c r="W32" s="121">
        <f t="shared" si="29"/>
        <v>0.05</v>
      </c>
      <c r="X32" s="119"/>
      <c r="Y32" s="4"/>
      <c r="Z32" s="73">
        <f t="shared" si="34"/>
        <v>0</v>
      </c>
      <c r="AA32" s="73">
        <f t="shared" si="35"/>
        <v>0</v>
      </c>
      <c r="AB32" s="73">
        <f t="shared" si="36"/>
        <v>0</v>
      </c>
      <c r="AC32" s="73">
        <f t="shared" si="37"/>
        <v>0</v>
      </c>
      <c r="AD32" s="73">
        <f t="shared" si="38"/>
        <v>0.05</v>
      </c>
      <c r="AE32" s="73">
        <f t="shared" si="12"/>
        <v>0</v>
      </c>
    </row>
    <row r="33" spans="1:31" ht="33" customHeight="1">
      <c r="A33" s="158"/>
      <c r="B33" s="162" t="s">
        <v>284</v>
      </c>
      <c r="C33" s="159" t="s">
        <v>60</v>
      </c>
      <c r="D33" s="154" t="s">
        <v>66</v>
      </c>
      <c r="E33" s="155">
        <v>4</v>
      </c>
      <c r="F33" s="157" t="s">
        <v>285</v>
      </c>
      <c r="G33" s="156">
        <v>1</v>
      </c>
      <c r="H33" s="157" t="s">
        <v>286</v>
      </c>
      <c r="I33" s="79" t="str">
        <f t="shared" ref="I33:I34" si="42">IF(ISBLANK(C33),"",IF(L33="L","Baixa",IF(L33="A","Média",IF(L33="","","Alta"))))</f>
        <v>Baixa</v>
      </c>
      <c r="J33" s="66" t="str">
        <f t="shared" si="1"/>
        <v>EEL</v>
      </c>
      <c r="K33" s="67">
        <f t="shared" ref="K33:K34" si="43">IF(ISBLANK(C33),"",IF(C33="ALI",IF(L33="L",7,IF(L33="A",10,15)),IF(C33="AIE",IF(L33="L",5,IF(L33="A",7,10)),IF(C33="SE",IF(L33="L",4,IF(L33="A",5,7)),IF(OR(C33="EE",C33="CE"),IF(L33="L",3,IF(L33="A",4,6)),0)))))</f>
        <v>3</v>
      </c>
      <c r="L33" s="70" t="str">
        <f t="shared" si="3"/>
        <v>L</v>
      </c>
      <c r="M33" s="69" t="str">
        <f t="shared" si="4"/>
        <v>EEI</v>
      </c>
      <c r="N33" s="71">
        <f t="shared" si="10"/>
        <v>3</v>
      </c>
      <c r="O33" s="78">
        <f>IFERROR(IF(NOT(ISERROR(VLOOKUP(C33,'Deflatores Sisp'!G$42:H$70,2,FALSE))),VLOOKUP(C33,'Deflatores Sisp'!G$42:H$70,2,FALSE),IF(OR(ISBLANK(D33),ISBLANK(C33)),"",VLOOKUP(D33,'Deflatores Sisp'!G$4:H$38,2,FALSE)*K33+VLOOKUP(D33,'Deflatores Sisp'!G$4:I$38,3,FALSE)))*W33,"")</f>
        <v>0.15000000000000002</v>
      </c>
      <c r="P33" s="120"/>
      <c r="Q33" s="68"/>
      <c r="R33" s="68"/>
      <c r="S33" s="68"/>
      <c r="T33" s="68" t="s">
        <v>59</v>
      </c>
      <c r="U33" s="68"/>
      <c r="V33" s="121"/>
      <c r="W33" s="121">
        <f t="shared" si="29"/>
        <v>0.05</v>
      </c>
      <c r="X33" s="118"/>
      <c r="Y33" s="4"/>
      <c r="Z33" s="73">
        <f t="shared" si="34"/>
        <v>0</v>
      </c>
      <c r="AA33" s="73">
        <f t="shared" si="35"/>
        <v>0</v>
      </c>
      <c r="AB33" s="73">
        <f t="shared" si="36"/>
        <v>0</v>
      </c>
      <c r="AC33" s="73">
        <f t="shared" si="37"/>
        <v>0</v>
      </c>
      <c r="AD33" s="73">
        <f t="shared" si="38"/>
        <v>0.05</v>
      </c>
      <c r="AE33" s="73">
        <f t="shared" si="12"/>
        <v>0</v>
      </c>
    </row>
    <row r="34" spans="1:31" ht="33" customHeight="1">
      <c r="A34" s="158"/>
      <c r="B34" s="162" t="s">
        <v>287</v>
      </c>
      <c r="C34" s="159" t="s">
        <v>60</v>
      </c>
      <c r="D34" s="154" t="s">
        <v>66</v>
      </c>
      <c r="E34" s="155">
        <v>2</v>
      </c>
      <c r="F34" s="157" t="s">
        <v>288</v>
      </c>
      <c r="G34" s="156">
        <v>1</v>
      </c>
      <c r="H34" s="157" t="s">
        <v>286</v>
      </c>
      <c r="I34" s="79" t="str">
        <f t="shared" si="42"/>
        <v>Baixa</v>
      </c>
      <c r="J34" s="66" t="str">
        <f t="shared" si="1"/>
        <v>EEL</v>
      </c>
      <c r="K34" s="67">
        <f t="shared" si="43"/>
        <v>3</v>
      </c>
      <c r="L34" s="70" t="str">
        <f t="shared" si="3"/>
        <v>L</v>
      </c>
      <c r="M34" s="69" t="str">
        <f t="shared" si="4"/>
        <v>EEI</v>
      </c>
      <c r="N34" s="71">
        <f t="shared" si="10"/>
        <v>3</v>
      </c>
      <c r="O34" s="78">
        <f>IFERROR(IF(NOT(ISERROR(VLOOKUP(C34,'Deflatores Sisp'!G$42:H$70,2,FALSE))),VLOOKUP(C34,'Deflatores Sisp'!G$42:H$70,2,FALSE),IF(OR(ISBLANK(D34),ISBLANK(C34)),"",VLOOKUP(D34,'Deflatores Sisp'!G$4:H$38,2,FALSE)*K34+VLOOKUP(D34,'Deflatores Sisp'!G$4:I$38,3,FALSE)))*W34,"")</f>
        <v>0.15000000000000002</v>
      </c>
      <c r="P34" s="120"/>
      <c r="Q34" s="68"/>
      <c r="R34" s="68"/>
      <c r="S34" s="68"/>
      <c r="T34" s="68" t="s">
        <v>59</v>
      </c>
      <c r="U34" s="68"/>
      <c r="V34" s="121"/>
      <c r="W34" s="121">
        <f t="shared" si="29"/>
        <v>0.05</v>
      </c>
      <c r="X34" s="118"/>
      <c r="Y34" s="4"/>
      <c r="Z34" s="73">
        <f t="shared" si="34"/>
        <v>0</v>
      </c>
      <c r="AA34" s="73">
        <f t="shared" si="35"/>
        <v>0</v>
      </c>
      <c r="AB34" s="73">
        <f t="shared" si="36"/>
        <v>0</v>
      </c>
      <c r="AC34" s="73">
        <f t="shared" si="37"/>
        <v>0</v>
      </c>
      <c r="AD34" s="73">
        <f t="shared" si="38"/>
        <v>0.05</v>
      </c>
      <c r="AE34" s="73">
        <f t="shared" si="12"/>
        <v>0</v>
      </c>
    </row>
    <row r="35" spans="1:31" ht="33" customHeight="1">
      <c r="A35" s="158"/>
      <c r="B35" s="162" t="s">
        <v>289</v>
      </c>
      <c r="C35" s="159" t="s">
        <v>60</v>
      </c>
      <c r="D35" s="154" t="s">
        <v>66</v>
      </c>
      <c r="E35" s="155">
        <v>6</v>
      </c>
      <c r="F35" s="157" t="s">
        <v>290</v>
      </c>
      <c r="G35" s="156">
        <v>1</v>
      </c>
      <c r="H35" s="157" t="s">
        <v>291</v>
      </c>
      <c r="I35" s="79" t="str">
        <f t="shared" ref="I35:I36" si="44">IF(ISBLANK(C35),"",IF(L35="L","Baixa",IF(L35="A","Média",IF(L35="","","Alta"))))</f>
        <v>Baixa</v>
      </c>
      <c r="J35" s="66" t="str">
        <f t="shared" ref="J35:J36" si="45">CONCATENATE(C35,L35)</f>
        <v>EEL</v>
      </c>
      <c r="K35" s="67">
        <f t="shared" ref="K35:K36" si="46">IF(ISBLANK(C35),"",IF(C35="ALI",IF(L35="L",7,IF(L35="A",10,15)),IF(C35="AIE",IF(L35="L",5,IF(L35="A",7,10)),IF(C35="SE",IF(L35="L",4,IF(L35="A",5,7)),IF(OR(C35="EE",C35="CE"),IF(L35="L",3,IF(L35="A",4,6)),0)))))</f>
        <v>3</v>
      </c>
      <c r="L35" s="70" t="str">
        <f t="shared" ref="L35:L36" si="47">IF(OR(ISBLANK(E35),ISBLANK(G35)),IF(OR(C35="ALI",C35="AIE"),"L",IF(OR(C35="EE",C35="SE",C35="CE"),"A","")),IF(C35="EE",IF(G35&gt;=3,IF(E35&gt;=5,"H","A"),IF(G35&gt;=2,IF(E35&gt;=16,"H",IF(E35&lt;=4,"L","A")),IF(E35&lt;=15,"L","A"))),IF(OR(C35="SE",C35="CE"),IF(G35&gt;=4,IF(E35&gt;=6,"H","A"),IF(G35&gt;=2,IF(E35&gt;=20,"H",IF(E35&lt;=5,"L","A")),IF(E35&lt;=19,"L","A"))),IF(OR(C35="ALI",C35="AIE"),IF(G35&gt;=6,IF(E35&gt;=20,"H","A"),IF(G35&gt;=2,IF(E35&gt;=51,"H",IF(E35&lt;=19,"L","A")),IF(E35&lt;=50,"L","A"))),""))))</f>
        <v>L</v>
      </c>
      <c r="M35" s="69" t="str">
        <f t="shared" ref="M35:M36" si="48">CONCATENATE(C35,D35)</f>
        <v>EEI</v>
      </c>
      <c r="N35" s="71">
        <f t="shared" ref="N35:N36" si="49">IF(OR(K35="",K35=0),O35,K35)</f>
        <v>3</v>
      </c>
      <c r="O35" s="78">
        <f>IFERROR(IF(NOT(ISERROR(VLOOKUP(C35,'Deflatores Sisp'!G$42:H$70,2,FALSE))),VLOOKUP(C35,'Deflatores Sisp'!G$42:H$70,2,FALSE),IF(OR(ISBLANK(D35),ISBLANK(C35)),"",VLOOKUP(D35,'Deflatores Sisp'!G$4:H$38,2,FALSE)*K35+VLOOKUP(D35,'Deflatores Sisp'!G$4:I$38,3,FALSE)))*W35,"")</f>
        <v>0.15000000000000002</v>
      </c>
      <c r="P35" s="120"/>
      <c r="Q35" s="68"/>
      <c r="R35" s="68"/>
      <c r="S35" s="68"/>
      <c r="T35" s="68" t="s">
        <v>59</v>
      </c>
      <c r="U35" s="68"/>
      <c r="V35" s="121"/>
      <c r="W35" s="121">
        <f t="shared" si="29"/>
        <v>0.05</v>
      </c>
      <c r="X35" s="118"/>
      <c r="Y35" s="4"/>
      <c r="Z35" s="73">
        <f t="shared" si="34"/>
        <v>0</v>
      </c>
      <c r="AA35" s="73">
        <f t="shared" si="35"/>
        <v>0</v>
      </c>
      <c r="AB35" s="73">
        <f t="shared" si="36"/>
        <v>0</v>
      </c>
      <c r="AC35" s="73">
        <f t="shared" si="37"/>
        <v>0</v>
      </c>
      <c r="AD35" s="73">
        <f t="shared" si="38"/>
        <v>0.05</v>
      </c>
      <c r="AE35" s="73">
        <f t="shared" ref="AE35:AE36" si="50">IF(U35="x",5%,0)</f>
        <v>0</v>
      </c>
    </row>
    <row r="36" spans="1:31" ht="33" customHeight="1">
      <c r="A36" s="158"/>
      <c r="B36" s="162" t="s">
        <v>292</v>
      </c>
      <c r="C36" s="159" t="s">
        <v>60</v>
      </c>
      <c r="D36" s="154" t="s">
        <v>66</v>
      </c>
      <c r="E36" s="155">
        <v>6</v>
      </c>
      <c r="F36" s="157" t="s">
        <v>293</v>
      </c>
      <c r="G36" s="156">
        <v>1</v>
      </c>
      <c r="H36" s="157" t="s">
        <v>294</v>
      </c>
      <c r="I36" s="79" t="str">
        <f t="shared" si="44"/>
        <v>Baixa</v>
      </c>
      <c r="J36" s="66" t="str">
        <f t="shared" si="45"/>
        <v>EEL</v>
      </c>
      <c r="K36" s="67">
        <f t="shared" si="46"/>
        <v>3</v>
      </c>
      <c r="L36" s="70" t="str">
        <f t="shared" si="47"/>
        <v>L</v>
      </c>
      <c r="M36" s="69" t="str">
        <f t="shared" si="48"/>
        <v>EEI</v>
      </c>
      <c r="N36" s="71">
        <f t="shared" si="49"/>
        <v>3</v>
      </c>
      <c r="O36" s="78">
        <f>IFERROR(IF(NOT(ISERROR(VLOOKUP(C36,'Deflatores Sisp'!G$42:H$70,2,FALSE))),VLOOKUP(C36,'Deflatores Sisp'!G$42:H$70,2,FALSE),IF(OR(ISBLANK(D36),ISBLANK(C36)),"",VLOOKUP(D36,'Deflatores Sisp'!G$4:H$38,2,FALSE)*K36+VLOOKUP(D36,'Deflatores Sisp'!G$4:I$38,3,FALSE)))*W36,"")</f>
        <v>0.15000000000000002</v>
      </c>
      <c r="P36" s="120"/>
      <c r="Q36" s="68"/>
      <c r="R36" s="68"/>
      <c r="S36" s="68"/>
      <c r="T36" s="68" t="s">
        <v>59</v>
      </c>
      <c r="U36" s="68"/>
      <c r="V36" s="121"/>
      <c r="W36" s="121">
        <f t="shared" si="29"/>
        <v>0.05</v>
      </c>
      <c r="X36" s="118"/>
      <c r="Y36" s="4"/>
      <c r="Z36" s="73">
        <f t="shared" si="34"/>
        <v>0</v>
      </c>
      <c r="AA36" s="73">
        <f t="shared" si="35"/>
        <v>0</v>
      </c>
      <c r="AB36" s="73">
        <f t="shared" si="36"/>
        <v>0</v>
      </c>
      <c r="AC36" s="73">
        <f t="shared" si="37"/>
        <v>0</v>
      </c>
      <c r="AD36" s="73">
        <f t="shared" si="38"/>
        <v>0.05</v>
      </c>
      <c r="AE36" s="73">
        <f t="shared" si="50"/>
        <v>0</v>
      </c>
    </row>
    <row r="37" spans="1:31" ht="33" customHeight="1">
      <c r="A37" s="158"/>
      <c r="B37" s="162" t="s">
        <v>295</v>
      </c>
      <c r="C37" s="159" t="s">
        <v>60</v>
      </c>
      <c r="D37" s="154" t="s">
        <v>66</v>
      </c>
      <c r="E37" s="155">
        <v>4</v>
      </c>
      <c r="F37" s="157" t="s">
        <v>296</v>
      </c>
      <c r="G37" s="156">
        <v>2</v>
      </c>
      <c r="H37" s="157" t="s">
        <v>297</v>
      </c>
      <c r="I37" s="79" t="str">
        <f t="shared" si="39"/>
        <v>Baixa</v>
      </c>
      <c r="J37" s="66" t="str">
        <f t="shared" si="1"/>
        <v>EEL</v>
      </c>
      <c r="K37" s="67">
        <f t="shared" si="40"/>
        <v>3</v>
      </c>
      <c r="L37" s="70" t="str">
        <f t="shared" si="3"/>
        <v>L</v>
      </c>
      <c r="M37" s="69" t="str">
        <f t="shared" si="4"/>
        <v>EEI</v>
      </c>
      <c r="N37" s="71">
        <f t="shared" si="10"/>
        <v>3</v>
      </c>
      <c r="O37" s="78">
        <f>IFERROR(IF(NOT(ISERROR(VLOOKUP(C37,'Deflatores Sisp'!G$42:H$70,2,FALSE))),VLOOKUP(C37,'Deflatores Sisp'!G$42:H$70,2,FALSE),IF(OR(ISBLANK(D37),ISBLANK(C37)),"",VLOOKUP(D37,'Deflatores Sisp'!G$4:H$38,2,FALSE)*K37+VLOOKUP(D37,'Deflatores Sisp'!G$4:I$38,3,FALSE)))*W37,"")</f>
        <v>0.15000000000000002</v>
      </c>
      <c r="P37" s="120"/>
      <c r="Q37" s="68"/>
      <c r="R37" s="68"/>
      <c r="S37" s="68"/>
      <c r="T37" s="68" t="s">
        <v>59</v>
      </c>
      <c r="U37" s="68"/>
      <c r="V37" s="121"/>
      <c r="W37" s="121">
        <f t="shared" si="29"/>
        <v>0.05</v>
      </c>
      <c r="X37" s="119"/>
      <c r="Y37" s="4"/>
      <c r="Z37" s="73">
        <f t="shared" si="34"/>
        <v>0</v>
      </c>
      <c r="AA37" s="73">
        <f t="shared" si="35"/>
        <v>0</v>
      </c>
      <c r="AB37" s="73">
        <f t="shared" si="36"/>
        <v>0</v>
      </c>
      <c r="AC37" s="73">
        <f t="shared" si="37"/>
        <v>0</v>
      </c>
      <c r="AD37" s="73">
        <f t="shared" si="38"/>
        <v>0.05</v>
      </c>
      <c r="AE37" s="73">
        <f t="shared" si="12"/>
        <v>0</v>
      </c>
    </row>
    <row r="38" spans="1:31" ht="33" customHeight="1">
      <c r="A38" s="158"/>
      <c r="B38" s="162" t="s">
        <v>298</v>
      </c>
      <c r="C38" s="159" t="s">
        <v>60</v>
      </c>
      <c r="D38" s="154" t="s">
        <v>66</v>
      </c>
      <c r="E38" s="155">
        <v>8</v>
      </c>
      <c r="F38" s="157" t="s">
        <v>299</v>
      </c>
      <c r="G38" s="156">
        <v>1</v>
      </c>
      <c r="H38" s="157" t="s">
        <v>300</v>
      </c>
      <c r="I38" s="79" t="str">
        <f t="shared" si="39"/>
        <v>Baixa</v>
      </c>
      <c r="J38" s="66" t="str">
        <f t="shared" si="1"/>
        <v>EEL</v>
      </c>
      <c r="K38" s="67">
        <f t="shared" si="40"/>
        <v>3</v>
      </c>
      <c r="L38" s="70" t="str">
        <f t="shared" si="3"/>
        <v>L</v>
      </c>
      <c r="M38" s="69" t="str">
        <f t="shared" si="4"/>
        <v>EEI</v>
      </c>
      <c r="N38" s="71">
        <f t="shared" si="10"/>
        <v>3</v>
      </c>
      <c r="O38" s="78">
        <f>IFERROR(IF(NOT(ISERROR(VLOOKUP(C38,'Deflatores Sisp'!G$42:H$70,2,FALSE))),VLOOKUP(C38,'Deflatores Sisp'!G$42:H$70,2,FALSE),IF(OR(ISBLANK(D38),ISBLANK(C38)),"",VLOOKUP(D38,'Deflatores Sisp'!G$4:H$38,2,FALSE)*K38+VLOOKUP(D38,'Deflatores Sisp'!G$4:I$38,3,FALSE)))*W38,"")</f>
        <v>0.15000000000000002</v>
      </c>
      <c r="P38" s="120"/>
      <c r="Q38" s="68"/>
      <c r="R38" s="68"/>
      <c r="S38" s="68"/>
      <c r="T38" s="68" t="s">
        <v>59</v>
      </c>
      <c r="U38" s="68"/>
      <c r="V38" s="121"/>
      <c r="W38" s="121">
        <f t="shared" si="29"/>
        <v>0.05</v>
      </c>
      <c r="X38" s="118"/>
      <c r="Y38" s="4"/>
      <c r="Z38" s="73">
        <f t="shared" si="34"/>
        <v>0</v>
      </c>
      <c r="AA38" s="73">
        <f t="shared" si="35"/>
        <v>0</v>
      </c>
      <c r="AB38" s="73">
        <f t="shared" si="36"/>
        <v>0</v>
      </c>
      <c r="AC38" s="73">
        <f t="shared" si="37"/>
        <v>0</v>
      </c>
      <c r="AD38" s="73">
        <f t="shared" si="38"/>
        <v>0.05</v>
      </c>
      <c r="AE38" s="73">
        <f t="shared" ref="AE38:AE39" si="51">IF(U38="x",5%,0)</f>
        <v>0</v>
      </c>
    </row>
    <row r="39" spans="1:31" ht="33" customHeight="1">
      <c r="A39" s="158"/>
      <c r="B39" s="162" t="s">
        <v>301</v>
      </c>
      <c r="C39" s="159" t="s">
        <v>60</v>
      </c>
      <c r="D39" s="154" t="s">
        <v>66</v>
      </c>
      <c r="E39" s="155">
        <v>8</v>
      </c>
      <c r="F39" s="157" t="s">
        <v>302</v>
      </c>
      <c r="G39" s="156">
        <v>1</v>
      </c>
      <c r="H39" s="157" t="s">
        <v>303</v>
      </c>
      <c r="I39" s="79" t="str">
        <f t="shared" si="39"/>
        <v>Baixa</v>
      </c>
      <c r="J39" s="66" t="str">
        <f t="shared" si="1"/>
        <v>EEL</v>
      </c>
      <c r="K39" s="67">
        <f t="shared" si="40"/>
        <v>3</v>
      </c>
      <c r="L39" s="70" t="str">
        <f t="shared" si="3"/>
        <v>L</v>
      </c>
      <c r="M39" s="69" t="str">
        <f t="shared" si="4"/>
        <v>EEI</v>
      </c>
      <c r="N39" s="71">
        <f t="shared" si="10"/>
        <v>3</v>
      </c>
      <c r="O39" s="78">
        <f>IFERROR(IF(NOT(ISERROR(VLOOKUP(C39,'Deflatores Sisp'!G$42:H$70,2,FALSE))),VLOOKUP(C39,'Deflatores Sisp'!G$42:H$70,2,FALSE),IF(OR(ISBLANK(D39),ISBLANK(C39)),"",VLOOKUP(D39,'Deflatores Sisp'!G$4:H$38,2,FALSE)*K39+VLOOKUP(D39,'Deflatores Sisp'!G$4:I$38,3,FALSE)))*W39,"")</f>
        <v>0.15000000000000002</v>
      </c>
      <c r="P39" s="120"/>
      <c r="Q39" s="68"/>
      <c r="R39" s="68"/>
      <c r="S39" s="68"/>
      <c r="T39" s="68" t="s">
        <v>59</v>
      </c>
      <c r="U39" s="68"/>
      <c r="V39" s="121"/>
      <c r="W39" s="121">
        <f t="shared" si="29"/>
        <v>0.05</v>
      </c>
      <c r="X39" s="118"/>
      <c r="Y39" s="4"/>
      <c r="Z39" s="73">
        <f t="shared" si="34"/>
        <v>0</v>
      </c>
      <c r="AA39" s="73">
        <f t="shared" si="35"/>
        <v>0</v>
      </c>
      <c r="AB39" s="73">
        <f t="shared" si="36"/>
        <v>0</v>
      </c>
      <c r="AC39" s="73">
        <f t="shared" si="37"/>
        <v>0</v>
      </c>
      <c r="AD39" s="73">
        <f t="shared" si="38"/>
        <v>0.05</v>
      </c>
      <c r="AE39" s="73">
        <f t="shared" si="51"/>
        <v>0</v>
      </c>
    </row>
    <row r="40" spans="1:31" ht="33" customHeight="1">
      <c r="A40" s="158"/>
      <c r="B40" s="162" t="s">
        <v>304</v>
      </c>
      <c r="C40" s="159" t="s">
        <v>60</v>
      </c>
      <c r="D40" s="154" t="s">
        <v>66</v>
      </c>
      <c r="E40" s="155">
        <v>8</v>
      </c>
      <c r="F40" s="157" t="s">
        <v>305</v>
      </c>
      <c r="G40" s="156">
        <v>4</v>
      </c>
      <c r="H40" s="157" t="s">
        <v>306</v>
      </c>
      <c r="I40" s="79" t="str">
        <f t="shared" si="39"/>
        <v>Alta</v>
      </c>
      <c r="J40" s="66" t="str">
        <f t="shared" si="1"/>
        <v>EEH</v>
      </c>
      <c r="K40" s="67">
        <f t="shared" si="40"/>
        <v>6</v>
      </c>
      <c r="L40" s="70" t="str">
        <f t="shared" si="3"/>
        <v>H</v>
      </c>
      <c r="M40" s="69" t="str">
        <f t="shared" si="4"/>
        <v>EEI</v>
      </c>
      <c r="N40" s="71">
        <f t="shared" si="10"/>
        <v>6</v>
      </c>
      <c r="O40" s="78">
        <f>IFERROR(IF(NOT(ISERROR(VLOOKUP(C40,'Deflatores Sisp'!G$42:H$70,2,FALSE))),VLOOKUP(C40,'Deflatores Sisp'!G$42:H$70,2,FALSE),IF(OR(ISBLANK(D40),ISBLANK(C40)),"",VLOOKUP(D40,'Deflatores Sisp'!G$4:H$38,2,FALSE)*K40+VLOOKUP(D40,'Deflatores Sisp'!G$4:I$38,3,FALSE)))*W40,"")</f>
        <v>0.30000000000000004</v>
      </c>
      <c r="P40" s="120"/>
      <c r="Q40" s="68"/>
      <c r="R40" s="68"/>
      <c r="S40" s="68"/>
      <c r="T40" s="68" t="s">
        <v>59</v>
      </c>
      <c r="U40" s="68"/>
      <c r="V40" s="121"/>
      <c r="W40" s="121">
        <f t="shared" si="29"/>
        <v>0.05</v>
      </c>
      <c r="X40" s="119"/>
      <c r="Y40" s="4"/>
      <c r="Z40" s="73">
        <f t="shared" si="34"/>
        <v>0</v>
      </c>
      <c r="AA40" s="73">
        <f t="shared" si="35"/>
        <v>0</v>
      </c>
      <c r="AB40" s="73">
        <f t="shared" si="36"/>
        <v>0</v>
      </c>
      <c r="AC40" s="73">
        <f t="shared" si="37"/>
        <v>0</v>
      </c>
      <c r="AD40" s="73">
        <f t="shared" si="38"/>
        <v>0.05</v>
      </c>
      <c r="AE40" s="73">
        <f t="shared" si="12"/>
        <v>0</v>
      </c>
    </row>
    <row r="41" spans="1:31" ht="33" customHeight="1">
      <c r="A41" s="158"/>
      <c r="B41" s="162" t="s">
        <v>307</v>
      </c>
      <c r="C41" s="159" t="s">
        <v>60</v>
      </c>
      <c r="D41" s="154" t="s">
        <v>66</v>
      </c>
      <c r="E41" s="155">
        <v>4</v>
      </c>
      <c r="F41" s="157" t="s">
        <v>308</v>
      </c>
      <c r="G41" s="156">
        <v>2</v>
      </c>
      <c r="H41" s="157" t="s">
        <v>309</v>
      </c>
      <c r="I41" s="79" t="str">
        <f t="shared" ref="I41:I42" si="52">IF(ISBLANK(C41),"",IF(L41="L","Baixa",IF(L41="A","Média",IF(L41="","","Alta"))))</f>
        <v>Baixa</v>
      </c>
      <c r="J41" s="66" t="str">
        <f t="shared" si="1"/>
        <v>EEL</v>
      </c>
      <c r="K41" s="67">
        <f t="shared" ref="K41:K42" si="53">IF(ISBLANK(C41),"",IF(C41="ALI",IF(L41="L",7,IF(L41="A",10,15)),IF(C41="AIE",IF(L41="L",5,IF(L41="A",7,10)),IF(C41="SE",IF(L41="L",4,IF(L41="A",5,7)),IF(OR(C41="EE",C41="CE"),IF(L41="L",3,IF(L41="A",4,6)),0)))))</f>
        <v>3</v>
      </c>
      <c r="L41" s="70" t="str">
        <f t="shared" si="3"/>
        <v>L</v>
      </c>
      <c r="M41" s="69" t="str">
        <f t="shared" si="4"/>
        <v>EEI</v>
      </c>
      <c r="N41" s="71">
        <f t="shared" si="10"/>
        <v>3</v>
      </c>
      <c r="O41" s="78">
        <f>IFERROR(IF(NOT(ISERROR(VLOOKUP(C41,'Deflatores Sisp'!G$42:H$70,2,FALSE))),VLOOKUP(C41,'Deflatores Sisp'!G$42:H$70,2,FALSE),IF(OR(ISBLANK(D41),ISBLANK(C41)),"",VLOOKUP(D41,'Deflatores Sisp'!G$4:H$38,2,FALSE)*K41+VLOOKUP(D41,'Deflatores Sisp'!G$4:I$38,3,FALSE)))*W41,"")</f>
        <v>0.15000000000000002</v>
      </c>
      <c r="P41" s="120"/>
      <c r="Q41" s="68"/>
      <c r="R41" s="68"/>
      <c r="S41" s="68"/>
      <c r="T41" s="68" t="s">
        <v>59</v>
      </c>
      <c r="U41" s="68"/>
      <c r="V41" s="121"/>
      <c r="W41" s="121">
        <f t="shared" si="29"/>
        <v>0.05</v>
      </c>
      <c r="X41" s="118"/>
      <c r="Y41" s="4"/>
      <c r="Z41" s="73">
        <f t="shared" si="34"/>
        <v>0</v>
      </c>
      <c r="AA41" s="73">
        <f t="shared" si="35"/>
        <v>0</v>
      </c>
      <c r="AB41" s="73">
        <f t="shared" si="36"/>
        <v>0</v>
      </c>
      <c r="AC41" s="73">
        <f t="shared" si="37"/>
        <v>0</v>
      </c>
      <c r="AD41" s="73">
        <f t="shared" si="38"/>
        <v>0.05</v>
      </c>
      <c r="AE41" s="73">
        <f t="shared" si="12"/>
        <v>0</v>
      </c>
    </row>
    <row r="42" spans="1:31" ht="33" customHeight="1">
      <c r="A42" s="158"/>
      <c r="B42" s="162" t="s">
        <v>310</v>
      </c>
      <c r="C42" s="159" t="s">
        <v>60</v>
      </c>
      <c r="D42" s="154" t="s">
        <v>66</v>
      </c>
      <c r="E42" s="155">
        <v>6</v>
      </c>
      <c r="F42" s="157" t="s">
        <v>311</v>
      </c>
      <c r="G42" s="156">
        <v>2</v>
      </c>
      <c r="H42" s="157" t="s">
        <v>312</v>
      </c>
      <c r="I42" s="79" t="str">
        <f t="shared" si="52"/>
        <v>Média</v>
      </c>
      <c r="J42" s="66" t="str">
        <f t="shared" si="1"/>
        <v>EEA</v>
      </c>
      <c r="K42" s="67">
        <f t="shared" si="53"/>
        <v>4</v>
      </c>
      <c r="L42" s="70" t="str">
        <f t="shared" si="3"/>
        <v>A</v>
      </c>
      <c r="M42" s="69" t="str">
        <f t="shared" si="4"/>
        <v>EEI</v>
      </c>
      <c r="N42" s="71">
        <f t="shared" si="10"/>
        <v>4</v>
      </c>
      <c r="O42" s="78">
        <f>IFERROR(IF(NOT(ISERROR(VLOOKUP(C42,'Deflatores Sisp'!G$42:H$70,2,FALSE))),VLOOKUP(C42,'Deflatores Sisp'!G$42:H$70,2,FALSE),IF(OR(ISBLANK(D42),ISBLANK(C42)),"",VLOOKUP(D42,'Deflatores Sisp'!G$4:H$38,2,FALSE)*K42+VLOOKUP(D42,'Deflatores Sisp'!G$4:I$38,3,FALSE)))*W42,"")</f>
        <v>0.2</v>
      </c>
      <c r="P42" s="120"/>
      <c r="Q42" s="68"/>
      <c r="R42" s="68"/>
      <c r="S42" s="68"/>
      <c r="T42" s="68" t="s">
        <v>59</v>
      </c>
      <c r="U42" s="68"/>
      <c r="V42" s="121"/>
      <c r="W42" s="121">
        <f t="shared" si="29"/>
        <v>0.05</v>
      </c>
      <c r="X42" s="118"/>
      <c r="Y42" s="4"/>
      <c r="Z42" s="73">
        <f t="shared" si="34"/>
        <v>0</v>
      </c>
      <c r="AA42" s="73">
        <f t="shared" si="35"/>
        <v>0</v>
      </c>
      <c r="AB42" s="73">
        <f t="shared" si="36"/>
        <v>0</v>
      </c>
      <c r="AC42" s="73">
        <f t="shared" si="37"/>
        <v>0</v>
      </c>
      <c r="AD42" s="73">
        <f t="shared" si="38"/>
        <v>0.05</v>
      </c>
      <c r="AE42" s="73">
        <f t="shared" si="12"/>
        <v>0</v>
      </c>
    </row>
    <row r="43" spans="1:31" ht="33" customHeight="1">
      <c r="A43" s="158"/>
      <c r="B43" s="162" t="s">
        <v>313</v>
      </c>
      <c r="C43" s="159" t="s">
        <v>60</v>
      </c>
      <c r="D43" s="154" t="s">
        <v>66</v>
      </c>
      <c r="E43" s="155">
        <v>5</v>
      </c>
      <c r="F43" s="157" t="s">
        <v>314</v>
      </c>
      <c r="G43" s="156">
        <v>2</v>
      </c>
      <c r="H43" s="157" t="s">
        <v>315</v>
      </c>
      <c r="I43" s="79" t="str">
        <f t="shared" si="39"/>
        <v>Média</v>
      </c>
      <c r="J43" s="66" t="str">
        <f t="shared" si="1"/>
        <v>EEA</v>
      </c>
      <c r="K43" s="67">
        <f t="shared" si="40"/>
        <v>4</v>
      </c>
      <c r="L43" s="70" t="str">
        <f t="shared" si="3"/>
        <v>A</v>
      </c>
      <c r="M43" s="69" t="str">
        <f t="shared" si="4"/>
        <v>EEI</v>
      </c>
      <c r="N43" s="71">
        <f t="shared" si="10"/>
        <v>4</v>
      </c>
      <c r="O43" s="78">
        <f>IFERROR(IF(NOT(ISERROR(VLOOKUP(C43,'Deflatores Sisp'!G$42:H$70,2,FALSE))),VLOOKUP(C43,'Deflatores Sisp'!G$42:H$70,2,FALSE),IF(OR(ISBLANK(D43),ISBLANK(C43)),"",VLOOKUP(D43,'Deflatores Sisp'!G$4:H$38,2,FALSE)*K43+VLOOKUP(D43,'Deflatores Sisp'!G$4:I$38,3,FALSE)))*W43,"")</f>
        <v>0.2</v>
      </c>
      <c r="P43" s="120"/>
      <c r="Q43" s="68"/>
      <c r="R43" s="68"/>
      <c r="S43" s="68"/>
      <c r="T43" s="68" t="s">
        <v>59</v>
      </c>
      <c r="U43" s="68"/>
      <c r="V43" s="121"/>
      <c r="W43" s="121">
        <f t="shared" si="29"/>
        <v>0.05</v>
      </c>
      <c r="X43" s="119"/>
      <c r="Y43" s="4"/>
      <c r="Z43" s="73">
        <f t="shared" si="34"/>
        <v>0</v>
      </c>
      <c r="AA43" s="73">
        <f t="shared" si="35"/>
        <v>0</v>
      </c>
      <c r="AB43" s="73">
        <f t="shared" si="36"/>
        <v>0</v>
      </c>
      <c r="AC43" s="73">
        <f t="shared" si="37"/>
        <v>0</v>
      </c>
      <c r="AD43" s="73">
        <f t="shared" si="38"/>
        <v>0.05</v>
      </c>
      <c r="AE43" s="73">
        <f t="shared" si="12"/>
        <v>0</v>
      </c>
    </row>
    <row r="44" spans="1:31" ht="33" customHeight="1">
      <c r="A44" s="158"/>
      <c r="B44" s="162" t="s">
        <v>316</v>
      </c>
      <c r="C44" s="159" t="s">
        <v>60</v>
      </c>
      <c r="D44" s="154" t="s">
        <v>66</v>
      </c>
      <c r="E44" s="155">
        <v>5</v>
      </c>
      <c r="F44" s="157" t="s">
        <v>317</v>
      </c>
      <c r="G44" s="156">
        <v>2</v>
      </c>
      <c r="H44" s="157" t="s">
        <v>318</v>
      </c>
      <c r="I44" s="79" t="str">
        <f t="shared" si="39"/>
        <v>Média</v>
      </c>
      <c r="J44" s="66" t="str">
        <f t="shared" si="1"/>
        <v>EEA</v>
      </c>
      <c r="K44" s="67">
        <f t="shared" si="40"/>
        <v>4</v>
      </c>
      <c r="L44" s="70" t="str">
        <f t="shared" si="3"/>
        <v>A</v>
      </c>
      <c r="M44" s="69" t="str">
        <f t="shared" si="4"/>
        <v>EEI</v>
      </c>
      <c r="N44" s="71">
        <f t="shared" si="10"/>
        <v>4</v>
      </c>
      <c r="O44" s="78">
        <f>IFERROR(IF(NOT(ISERROR(VLOOKUP(C44,'Deflatores Sisp'!G$42:H$70,2,FALSE))),VLOOKUP(C44,'Deflatores Sisp'!G$42:H$70,2,FALSE),IF(OR(ISBLANK(D44),ISBLANK(C44)),"",VLOOKUP(D44,'Deflatores Sisp'!G$4:H$38,2,FALSE)*K44+VLOOKUP(D44,'Deflatores Sisp'!G$4:I$38,3,FALSE)))*W44,"")</f>
        <v>0.2</v>
      </c>
      <c r="P44" s="120"/>
      <c r="Q44" s="68"/>
      <c r="R44" s="68"/>
      <c r="S44" s="68"/>
      <c r="T44" s="68" t="s">
        <v>59</v>
      </c>
      <c r="U44" s="68"/>
      <c r="V44" s="121"/>
      <c r="W44" s="121">
        <f t="shared" si="29"/>
        <v>0.05</v>
      </c>
      <c r="X44" s="118"/>
      <c r="Y44" s="4"/>
      <c r="Z44" s="73">
        <f t="shared" si="34"/>
        <v>0</v>
      </c>
      <c r="AA44" s="73">
        <f t="shared" si="35"/>
        <v>0</v>
      </c>
      <c r="AB44" s="73">
        <f t="shared" si="36"/>
        <v>0</v>
      </c>
      <c r="AC44" s="73">
        <f t="shared" si="37"/>
        <v>0</v>
      </c>
      <c r="AD44" s="73">
        <f t="shared" si="38"/>
        <v>0.05</v>
      </c>
      <c r="AE44" s="73">
        <f t="shared" ref="AE44:AE45" si="54">IF(U44="x",5%,0)</f>
        <v>0</v>
      </c>
    </row>
    <row r="45" spans="1:31" ht="33" customHeight="1">
      <c r="A45" s="158"/>
      <c r="B45" s="162" t="s">
        <v>319</v>
      </c>
      <c r="C45" s="159" t="s">
        <v>60</v>
      </c>
      <c r="D45" s="154" t="s">
        <v>66</v>
      </c>
      <c r="E45" s="155">
        <v>10</v>
      </c>
      <c r="F45" s="157" t="s">
        <v>320</v>
      </c>
      <c r="G45" s="156">
        <v>4</v>
      </c>
      <c r="H45" s="157" t="s">
        <v>321</v>
      </c>
      <c r="I45" s="79" t="str">
        <f t="shared" si="39"/>
        <v>Alta</v>
      </c>
      <c r="J45" s="66" t="str">
        <f t="shared" si="1"/>
        <v>EEH</v>
      </c>
      <c r="K45" s="67">
        <f t="shared" si="40"/>
        <v>6</v>
      </c>
      <c r="L45" s="70" t="str">
        <f t="shared" si="3"/>
        <v>H</v>
      </c>
      <c r="M45" s="69" t="str">
        <f t="shared" si="4"/>
        <v>EEI</v>
      </c>
      <c r="N45" s="71">
        <f t="shared" si="10"/>
        <v>6</v>
      </c>
      <c r="O45" s="78">
        <f>IFERROR(IF(NOT(ISERROR(VLOOKUP(C45,'Deflatores Sisp'!G$42:H$70,2,FALSE))),VLOOKUP(C45,'Deflatores Sisp'!G$42:H$70,2,FALSE),IF(OR(ISBLANK(D45),ISBLANK(C45)),"",VLOOKUP(D45,'Deflatores Sisp'!G$4:H$38,2,FALSE)*K45+VLOOKUP(D45,'Deflatores Sisp'!G$4:I$38,3,FALSE)))*W45,"")</f>
        <v>0.30000000000000004</v>
      </c>
      <c r="P45" s="120"/>
      <c r="Q45" s="68"/>
      <c r="R45" s="68"/>
      <c r="S45" s="68"/>
      <c r="T45" s="68" t="s">
        <v>59</v>
      </c>
      <c r="U45" s="68"/>
      <c r="V45" s="121"/>
      <c r="W45" s="121">
        <f t="shared" si="29"/>
        <v>0.05</v>
      </c>
      <c r="X45" s="118"/>
      <c r="Y45" s="4"/>
      <c r="Z45" s="73">
        <f t="shared" si="34"/>
        <v>0</v>
      </c>
      <c r="AA45" s="73">
        <f t="shared" si="35"/>
        <v>0</v>
      </c>
      <c r="AB45" s="73">
        <f t="shared" si="36"/>
        <v>0</v>
      </c>
      <c r="AC45" s="73">
        <f t="shared" si="37"/>
        <v>0</v>
      </c>
      <c r="AD45" s="73">
        <f t="shared" si="38"/>
        <v>0.05</v>
      </c>
      <c r="AE45" s="73">
        <f t="shared" si="54"/>
        <v>0</v>
      </c>
    </row>
    <row r="46" spans="1:31" ht="33" customHeight="1">
      <c r="A46" s="158"/>
      <c r="B46" s="162" t="s">
        <v>322</v>
      </c>
      <c r="C46" s="159" t="s">
        <v>60</v>
      </c>
      <c r="D46" s="154" t="s">
        <v>66</v>
      </c>
      <c r="E46" s="155">
        <v>4</v>
      </c>
      <c r="F46" s="157" t="s">
        <v>323</v>
      </c>
      <c r="G46" s="156">
        <v>1</v>
      </c>
      <c r="H46" s="157" t="s">
        <v>324</v>
      </c>
      <c r="I46" s="79" t="str">
        <f t="shared" si="39"/>
        <v>Baixa</v>
      </c>
      <c r="J46" s="66" t="str">
        <f t="shared" si="1"/>
        <v>EEL</v>
      </c>
      <c r="K46" s="67">
        <f t="shared" si="40"/>
        <v>3</v>
      </c>
      <c r="L46" s="70" t="str">
        <f t="shared" si="3"/>
        <v>L</v>
      </c>
      <c r="M46" s="69" t="str">
        <f t="shared" si="4"/>
        <v>EEI</v>
      </c>
      <c r="N46" s="71">
        <f t="shared" si="10"/>
        <v>3</v>
      </c>
      <c r="O46" s="78">
        <f>IFERROR(IF(NOT(ISERROR(VLOOKUP(C46,'Deflatores Sisp'!G$42:H$70,2,FALSE))),VLOOKUP(C46,'Deflatores Sisp'!G$42:H$70,2,FALSE),IF(OR(ISBLANK(D46),ISBLANK(C46)),"",VLOOKUP(D46,'Deflatores Sisp'!G$4:H$38,2,FALSE)*K46+VLOOKUP(D46,'Deflatores Sisp'!G$4:I$38,3,FALSE)))*W46,"")</f>
        <v>0.15000000000000002</v>
      </c>
      <c r="P46" s="120"/>
      <c r="Q46" s="68"/>
      <c r="R46" s="68"/>
      <c r="S46" s="68"/>
      <c r="T46" s="68" t="s">
        <v>59</v>
      </c>
      <c r="U46" s="68"/>
      <c r="V46" s="121"/>
      <c r="W46" s="121">
        <f t="shared" si="29"/>
        <v>0.05</v>
      </c>
      <c r="X46" s="119"/>
      <c r="Y46" s="4"/>
      <c r="Z46" s="73">
        <f t="shared" si="34"/>
        <v>0</v>
      </c>
      <c r="AA46" s="73">
        <f t="shared" si="35"/>
        <v>0</v>
      </c>
      <c r="AB46" s="73">
        <f t="shared" si="36"/>
        <v>0</v>
      </c>
      <c r="AC46" s="73">
        <f t="shared" si="37"/>
        <v>0</v>
      </c>
      <c r="AD46" s="73">
        <f t="shared" si="38"/>
        <v>0.05</v>
      </c>
      <c r="AE46" s="73">
        <f t="shared" si="12"/>
        <v>0</v>
      </c>
    </row>
    <row r="47" spans="1:31" ht="33" customHeight="1">
      <c r="A47" s="158"/>
      <c r="B47" s="162" t="s">
        <v>325</v>
      </c>
      <c r="C47" s="159" t="s">
        <v>60</v>
      </c>
      <c r="D47" s="154" t="s">
        <v>66</v>
      </c>
      <c r="E47" s="155">
        <v>3</v>
      </c>
      <c r="F47" s="157" t="s">
        <v>326</v>
      </c>
      <c r="G47" s="156">
        <v>1</v>
      </c>
      <c r="H47" s="157" t="s">
        <v>324</v>
      </c>
      <c r="I47" s="79" t="str">
        <f t="shared" ref="I47:I48" si="55">IF(ISBLANK(C47),"",IF(L47="L","Baixa",IF(L47="A","Média",IF(L47="","","Alta"))))</f>
        <v>Baixa</v>
      </c>
      <c r="J47" s="66" t="str">
        <f t="shared" si="1"/>
        <v>EEL</v>
      </c>
      <c r="K47" s="67">
        <f t="shared" ref="K47:K48" si="56">IF(ISBLANK(C47),"",IF(C47="ALI",IF(L47="L",7,IF(L47="A",10,15)),IF(C47="AIE",IF(L47="L",5,IF(L47="A",7,10)),IF(C47="SE",IF(L47="L",4,IF(L47="A",5,7)),IF(OR(C47="EE",C47="CE"),IF(L47="L",3,IF(L47="A",4,6)),0)))))</f>
        <v>3</v>
      </c>
      <c r="L47" s="70" t="str">
        <f t="shared" si="3"/>
        <v>L</v>
      </c>
      <c r="M47" s="69" t="str">
        <f t="shared" si="4"/>
        <v>EEI</v>
      </c>
      <c r="N47" s="71">
        <f t="shared" si="10"/>
        <v>3</v>
      </c>
      <c r="O47" s="78">
        <f>IFERROR(IF(NOT(ISERROR(VLOOKUP(C47,'Deflatores Sisp'!G$42:H$70,2,FALSE))),VLOOKUP(C47,'Deflatores Sisp'!G$42:H$70,2,FALSE),IF(OR(ISBLANK(D47),ISBLANK(C47)),"",VLOOKUP(D47,'Deflatores Sisp'!G$4:H$38,2,FALSE)*K47+VLOOKUP(D47,'Deflatores Sisp'!G$4:I$38,3,FALSE)))*W47,"")</f>
        <v>0.15000000000000002</v>
      </c>
      <c r="P47" s="120"/>
      <c r="Q47" s="68"/>
      <c r="R47" s="68"/>
      <c r="S47" s="68"/>
      <c r="T47" s="68" t="s">
        <v>59</v>
      </c>
      <c r="U47" s="68"/>
      <c r="V47" s="121"/>
      <c r="W47" s="121">
        <f t="shared" si="29"/>
        <v>0.05</v>
      </c>
      <c r="X47" s="118"/>
      <c r="Y47" s="4"/>
      <c r="Z47" s="73">
        <f t="shared" si="34"/>
        <v>0</v>
      </c>
      <c r="AA47" s="73">
        <f t="shared" si="35"/>
        <v>0</v>
      </c>
      <c r="AB47" s="73">
        <f t="shared" si="36"/>
        <v>0</v>
      </c>
      <c r="AC47" s="73">
        <f t="shared" si="37"/>
        <v>0</v>
      </c>
      <c r="AD47" s="73">
        <f t="shared" si="38"/>
        <v>0.05</v>
      </c>
      <c r="AE47" s="73">
        <f t="shared" si="12"/>
        <v>0</v>
      </c>
    </row>
    <row r="48" spans="1:31" ht="33" customHeight="1">
      <c r="A48" s="158"/>
      <c r="B48" s="162" t="s">
        <v>327</v>
      </c>
      <c r="C48" s="159" t="s">
        <v>60</v>
      </c>
      <c r="D48" s="154" t="s">
        <v>66</v>
      </c>
      <c r="E48" s="155">
        <v>6</v>
      </c>
      <c r="F48" s="157" t="s">
        <v>328</v>
      </c>
      <c r="G48" s="156">
        <v>1</v>
      </c>
      <c r="H48" s="157" t="s">
        <v>329</v>
      </c>
      <c r="I48" s="79" t="str">
        <f t="shared" si="55"/>
        <v>Baixa</v>
      </c>
      <c r="J48" s="66" t="str">
        <f t="shared" si="1"/>
        <v>EEL</v>
      </c>
      <c r="K48" s="67">
        <f t="shared" si="56"/>
        <v>3</v>
      </c>
      <c r="L48" s="70" t="str">
        <f t="shared" si="3"/>
        <v>L</v>
      </c>
      <c r="M48" s="69" t="str">
        <f t="shared" si="4"/>
        <v>EEI</v>
      </c>
      <c r="N48" s="71">
        <f t="shared" si="10"/>
        <v>3</v>
      </c>
      <c r="O48" s="78">
        <f>IFERROR(IF(NOT(ISERROR(VLOOKUP(C48,'Deflatores Sisp'!G$42:H$70,2,FALSE))),VLOOKUP(C48,'Deflatores Sisp'!G$42:H$70,2,FALSE),IF(OR(ISBLANK(D48),ISBLANK(C48)),"",VLOOKUP(D48,'Deflatores Sisp'!G$4:H$38,2,FALSE)*K48+VLOOKUP(D48,'Deflatores Sisp'!G$4:I$38,3,FALSE)))*W48,"")</f>
        <v>0.15000000000000002</v>
      </c>
      <c r="P48" s="120"/>
      <c r="Q48" s="68"/>
      <c r="R48" s="68"/>
      <c r="S48" s="68"/>
      <c r="T48" s="68" t="s">
        <v>59</v>
      </c>
      <c r="U48" s="68"/>
      <c r="V48" s="121"/>
      <c r="W48" s="121">
        <f t="shared" si="29"/>
        <v>0.05</v>
      </c>
      <c r="X48" s="118"/>
      <c r="Y48" s="4"/>
      <c r="Z48" s="73">
        <f t="shared" ref="Z48:Z54" si="57">IF(P48="x",25%,0)</f>
        <v>0</v>
      </c>
      <c r="AA48" s="73">
        <f t="shared" ref="AA48:AA54" si="58">IF(Q48="x",10%,0)</f>
        <v>0</v>
      </c>
      <c r="AB48" s="73">
        <f t="shared" ref="AB48:AB54" si="59">IF(R48="x",40%,0)</f>
        <v>0</v>
      </c>
      <c r="AC48" s="73">
        <f t="shared" ref="AC48:AC54" si="60">IF(S48="x",15%,0)</f>
        <v>0</v>
      </c>
      <c r="AD48" s="73">
        <f t="shared" ref="AD48:AD54" si="61">IF(T48="x",5%,0)</f>
        <v>0.05</v>
      </c>
      <c r="AE48" s="73">
        <f t="shared" si="12"/>
        <v>0</v>
      </c>
    </row>
    <row r="49" spans="1:31" ht="33" customHeight="1">
      <c r="A49" s="158"/>
      <c r="B49" s="162" t="s">
        <v>330</v>
      </c>
      <c r="C49" s="159" t="s">
        <v>60</v>
      </c>
      <c r="D49" s="154" t="s">
        <v>66</v>
      </c>
      <c r="E49" s="155">
        <v>6</v>
      </c>
      <c r="F49" s="157" t="s">
        <v>331</v>
      </c>
      <c r="G49" s="156">
        <v>1</v>
      </c>
      <c r="H49" s="157" t="s">
        <v>332</v>
      </c>
      <c r="I49" s="79" t="str">
        <f t="shared" si="39"/>
        <v>Baixa</v>
      </c>
      <c r="J49" s="66" t="str">
        <f t="shared" si="1"/>
        <v>EEL</v>
      </c>
      <c r="K49" s="67">
        <f t="shared" si="40"/>
        <v>3</v>
      </c>
      <c r="L49" s="70" t="str">
        <f t="shared" si="3"/>
        <v>L</v>
      </c>
      <c r="M49" s="69" t="str">
        <f t="shared" si="4"/>
        <v>EEI</v>
      </c>
      <c r="N49" s="71">
        <f t="shared" si="10"/>
        <v>3</v>
      </c>
      <c r="O49" s="78">
        <f>IFERROR(IF(NOT(ISERROR(VLOOKUP(C49,'Deflatores Sisp'!G$42:H$70,2,FALSE))),VLOOKUP(C49,'Deflatores Sisp'!G$42:H$70,2,FALSE),IF(OR(ISBLANK(D49),ISBLANK(C49)),"",VLOOKUP(D49,'Deflatores Sisp'!G$4:H$38,2,FALSE)*K49+VLOOKUP(D49,'Deflatores Sisp'!G$4:I$38,3,FALSE)))*W49,"")</f>
        <v>0.15000000000000002</v>
      </c>
      <c r="P49" s="120"/>
      <c r="Q49" s="68"/>
      <c r="R49" s="68"/>
      <c r="S49" s="68"/>
      <c r="T49" s="68" t="s">
        <v>59</v>
      </c>
      <c r="U49" s="68"/>
      <c r="V49" s="121"/>
      <c r="W49" s="121">
        <f t="shared" si="29"/>
        <v>0.05</v>
      </c>
      <c r="X49" s="119"/>
      <c r="Y49" s="4"/>
      <c r="Z49" s="73">
        <f t="shared" si="57"/>
        <v>0</v>
      </c>
      <c r="AA49" s="73">
        <f t="shared" si="58"/>
        <v>0</v>
      </c>
      <c r="AB49" s="73">
        <f t="shared" si="59"/>
        <v>0</v>
      </c>
      <c r="AC49" s="73">
        <f t="shared" si="60"/>
        <v>0</v>
      </c>
      <c r="AD49" s="73">
        <f t="shared" si="61"/>
        <v>0.05</v>
      </c>
      <c r="AE49" s="73">
        <f t="shared" si="12"/>
        <v>0</v>
      </c>
    </row>
    <row r="50" spans="1:31" ht="33" customHeight="1">
      <c r="A50" s="158"/>
      <c r="B50" s="162" t="s">
        <v>333</v>
      </c>
      <c r="C50" s="159" t="s">
        <v>60</v>
      </c>
      <c r="D50" s="154" t="s">
        <v>66</v>
      </c>
      <c r="E50" s="155">
        <v>2</v>
      </c>
      <c r="F50" s="157" t="s">
        <v>334</v>
      </c>
      <c r="G50" s="156">
        <v>1</v>
      </c>
      <c r="H50" s="157" t="s">
        <v>332</v>
      </c>
      <c r="I50" s="79" t="str">
        <f t="shared" si="39"/>
        <v>Baixa</v>
      </c>
      <c r="J50" s="66" t="str">
        <f t="shared" si="1"/>
        <v>EEL</v>
      </c>
      <c r="K50" s="67">
        <f t="shared" si="40"/>
        <v>3</v>
      </c>
      <c r="L50" s="70" t="str">
        <f t="shared" si="3"/>
        <v>L</v>
      </c>
      <c r="M50" s="69" t="str">
        <f t="shared" si="4"/>
        <v>EEI</v>
      </c>
      <c r="N50" s="71">
        <f t="shared" si="10"/>
        <v>3</v>
      </c>
      <c r="O50" s="78">
        <f>IFERROR(IF(NOT(ISERROR(VLOOKUP(C50,'Deflatores Sisp'!G$42:H$70,2,FALSE))),VLOOKUP(C50,'Deflatores Sisp'!G$42:H$70,2,FALSE),IF(OR(ISBLANK(D50),ISBLANK(C50)),"",VLOOKUP(D50,'Deflatores Sisp'!G$4:H$38,2,FALSE)*K50+VLOOKUP(D50,'Deflatores Sisp'!G$4:I$38,3,FALSE)))*W50,"")</f>
        <v>0.15000000000000002</v>
      </c>
      <c r="P50" s="120"/>
      <c r="Q50" s="68"/>
      <c r="R50" s="68"/>
      <c r="S50" s="68"/>
      <c r="T50" s="68" t="s">
        <v>59</v>
      </c>
      <c r="U50" s="68"/>
      <c r="V50" s="121"/>
      <c r="W50" s="121">
        <f t="shared" si="29"/>
        <v>0.05</v>
      </c>
      <c r="X50" s="118"/>
      <c r="Y50" s="4"/>
      <c r="Z50" s="73">
        <f t="shared" si="57"/>
        <v>0</v>
      </c>
      <c r="AA50" s="73">
        <f t="shared" si="58"/>
        <v>0</v>
      </c>
      <c r="AB50" s="73">
        <f t="shared" si="59"/>
        <v>0</v>
      </c>
      <c r="AC50" s="73">
        <f t="shared" si="60"/>
        <v>0</v>
      </c>
      <c r="AD50" s="73">
        <f t="shared" si="61"/>
        <v>0.05</v>
      </c>
      <c r="AE50" s="73">
        <f t="shared" ref="AE50:AE51" si="62">IF(U50="x",5%,0)</f>
        <v>0</v>
      </c>
    </row>
    <row r="51" spans="1:31" ht="33" customHeight="1">
      <c r="A51" s="158"/>
      <c r="B51" s="162" t="s">
        <v>335</v>
      </c>
      <c r="C51" s="159" t="s">
        <v>60</v>
      </c>
      <c r="D51" s="154" t="s">
        <v>66</v>
      </c>
      <c r="E51" s="155">
        <v>5</v>
      </c>
      <c r="F51" s="157" t="s">
        <v>336</v>
      </c>
      <c r="G51" s="156">
        <v>1</v>
      </c>
      <c r="H51" s="157" t="s">
        <v>337</v>
      </c>
      <c r="I51" s="79" t="str">
        <f t="shared" si="39"/>
        <v>Baixa</v>
      </c>
      <c r="J51" s="66" t="str">
        <f t="shared" si="1"/>
        <v>EEL</v>
      </c>
      <c r="K51" s="67">
        <f t="shared" si="40"/>
        <v>3</v>
      </c>
      <c r="L51" s="70" t="str">
        <f t="shared" si="3"/>
        <v>L</v>
      </c>
      <c r="M51" s="69" t="str">
        <f t="shared" si="4"/>
        <v>EEI</v>
      </c>
      <c r="N51" s="71">
        <f t="shared" si="10"/>
        <v>3</v>
      </c>
      <c r="O51" s="78">
        <f>IFERROR(IF(NOT(ISERROR(VLOOKUP(C51,'Deflatores Sisp'!G$42:H$70,2,FALSE))),VLOOKUP(C51,'Deflatores Sisp'!G$42:H$70,2,FALSE),IF(OR(ISBLANK(D51),ISBLANK(C51)),"",VLOOKUP(D51,'Deflatores Sisp'!G$4:H$38,2,FALSE)*K51+VLOOKUP(D51,'Deflatores Sisp'!G$4:I$38,3,FALSE)))*W51,"")</f>
        <v>0.15000000000000002</v>
      </c>
      <c r="P51" s="120"/>
      <c r="Q51" s="68"/>
      <c r="R51" s="68"/>
      <c r="S51" s="68"/>
      <c r="T51" s="68" t="s">
        <v>59</v>
      </c>
      <c r="U51" s="68"/>
      <c r="V51" s="121"/>
      <c r="W51" s="121">
        <f t="shared" si="29"/>
        <v>0.05</v>
      </c>
      <c r="X51" s="118"/>
      <c r="Y51" s="4"/>
      <c r="Z51" s="73">
        <f t="shared" si="57"/>
        <v>0</v>
      </c>
      <c r="AA51" s="73">
        <f t="shared" si="58"/>
        <v>0</v>
      </c>
      <c r="AB51" s="73">
        <f t="shared" si="59"/>
        <v>0</v>
      </c>
      <c r="AC51" s="73">
        <f t="shared" si="60"/>
        <v>0</v>
      </c>
      <c r="AD51" s="73">
        <f t="shared" si="61"/>
        <v>0.05</v>
      </c>
      <c r="AE51" s="73">
        <f t="shared" si="62"/>
        <v>0</v>
      </c>
    </row>
    <row r="52" spans="1:31" ht="33" customHeight="1">
      <c r="A52" s="158"/>
      <c r="B52" s="162" t="s">
        <v>338</v>
      </c>
      <c r="C52" s="159" t="s">
        <v>60</v>
      </c>
      <c r="D52" s="154" t="s">
        <v>66</v>
      </c>
      <c r="E52" s="155">
        <v>5</v>
      </c>
      <c r="F52" s="157" t="s">
        <v>339</v>
      </c>
      <c r="G52" s="156">
        <v>1</v>
      </c>
      <c r="H52" s="157" t="s">
        <v>340</v>
      </c>
      <c r="I52" s="79" t="str">
        <f t="shared" si="39"/>
        <v>Baixa</v>
      </c>
      <c r="J52" s="66" t="str">
        <f t="shared" si="1"/>
        <v>EEL</v>
      </c>
      <c r="K52" s="67">
        <f t="shared" si="40"/>
        <v>3</v>
      </c>
      <c r="L52" s="70" t="str">
        <f t="shared" si="3"/>
        <v>L</v>
      </c>
      <c r="M52" s="69" t="str">
        <f t="shared" si="4"/>
        <v>EEI</v>
      </c>
      <c r="N52" s="71">
        <f t="shared" si="10"/>
        <v>3</v>
      </c>
      <c r="O52" s="78">
        <f>IFERROR(IF(NOT(ISERROR(VLOOKUP(C52,'Deflatores Sisp'!G$42:H$70,2,FALSE))),VLOOKUP(C52,'Deflatores Sisp'!G$42:H$70,2,FALSE),IF(OR(ISBLANK(D52),ISBLANK(C52)),"",VLOOKUP(D52,'Deflatores Sisp'!G$4:H$38,2,FALSE)*K52+VLOOKUP(D52,'Deflatores Sisp'!G$4:I$38,3,FALSE)))*W52,"")</f>
        <v>0.15000000000000002</v>
      </c>
      <c r="P52" s="120"/>
      <c r="Q52" s="68"/>
      <c r="R52" s="68"/>
      <c r="S52" s="68"/>
      <c r="T52" s="68" t="s">
        <v>59</v>
      </c>
      <c r="U52" s="68"/>
      <c r="V52" s="121"/>
      <c r="W52" s="121">
        <f t="shared" si="29"/>
        <v>0.05</v>
      </c>
      <c r="X52" s="119"/>
      <c r="Y52" s="4"/>
      <c r="Z52" s="73">
        <f t="shared" si="57"/>
        <v>0</v>
      </c>
      <c r="AA52" s="73">
        <f t="shared" si="58"/>
        <v>0</v>
      </c>
      <c r="AB52" s="73">
        <f t="shared" si="59"/>
        <v>0</v>
      </c>
      <c r="AC52" s="73">
        <f t="shared" si="60"/>
        <v>0</v>
      </c>
      <c r="AD52" s="73">
        <f t="shared" si="61"/>
        <v>0.05</v>
      </c>
      <c r="AE52" s="73">
        <f t="shared" si="12"/>
        <v>0</v>
      </c>
    </row>
    <row r="53" spans="1:31" ht="33" customHeight="1">
      <c r="A53" s="158"/>
      <c r="B53" s="162" t="s">
        <v>341</v>
      </c>
      <c r="C53" s="159" t="s">
        <v>60</v>
      </c>
      <c r="D53" s="154" t="s">
        <v>66</v>
      </c>
      <c r="E53" s="155">
        <v>2</v>
      </c>
      <c r="F53" s="157" t="s">
        <v>334</v>
      </c>
      <c r="G53" s="156">
        <v>1</v>
      </c>
      <c r="H53" s="157" t="s">
        <v>340</v>
      </c>
      <c r="I53" s="79" t="str">
        <f t="shared" ref="I53:I55" si="63">IF(ISBLANK(C53),"",IF(L53="L","Baixa",IF(L53="A","Média",IF(L53="","","Alta"))))</f>
        <v>Baixa</v>
      </c>
      <c r="J53" s="66" t="str">
        <f t="shared" si="1"/>
        <v>EEL</v>
      </c>
      <c r="K53" s="67">
        <f t="shared" ref="K53:K55" si="64">IF(ISBLANK(C53),"",IF(C53="ALI",IF(L53="L",7,IF(L53="A",10,15)),IF(C53="AIE",IF(L53="L",5,IF(L53="A",7,10)),IF(C53="SE",IF(L53="L",4,IF(L53="A",5,7)),IF(OR(C53="EE",C53="CE"),IF(L53="L",3,IF(L53="A",4,6)),0)))))</f>
        <v>3</v>
      </c>
      <c r="L53" s="70" t="str">
        <f t="shared" si="3"/>
        <v>L</v>
      </c>
      <c r="M53" s="69" t="str">
        <f t="shared" si="4"/>
        <v>EEI</v>
      </c>
      <c r="N53" s="71">
        <f t="shared" si="10"/>
        <v>3</v>
      </c>
      <c r="O53" s="78">
        <f>IFERROR(IF(NOT(ISERROR(VLOOKUP(C53,'Deflatores Sisp'!G$42:H$70,2,FALSE))),VLOOKUP(C53,'Deflatores Sisp'!G$42:H$70,2,FALSE),IF(OR(ISBLANK(D53),ISBLANK(C53)),"",VLOOKUP(D53,'Deflatores Sisp'!G$4:H$38,2,FALSE)*K53+VLOOKUP(D53,'Deflatores Sisp'!G$4:I$38,3,FALSE)))*W53,"")</f>
        <v>0.15000000000000002</v>
      </c>
      <c r="P53" s="120"/>
      <c r="Q53" s="68"/>
      <c r="R53" s="68"/>
      <c r="S53" s="68"/>
      <c r="T53" s="68" t="s">
        <v>59</v>
      </c>
      <c r="U53" s="68"/>
      <c r="V53" s="121"/>
      <c r="W53" s="121">
        <f t="shared" si="29"/>
        <v>0.05</v>
      </c>
      <c r="X53" s="118"/>
      <c r="Y53" s="4"/>
      <c r="Z53" s="73">
        <f t="shared" si="57"/>
        <v>0</v>
      </c>
      <c r="AA53" s="73">
        <f t="shared" si="58"/>
        <v>0</v>
      </c>
      <c r="AB53" s="73">
        <f t="shared" si="59"/>
        <v>0</v>
      </c>
      <c r="AC53" s="73">
        <f t="shared" si="60"/>
        <v>0</v>
      </c>
      <c r="AD53" s="73">
        <f t="shared" si="61"/>
        <v>0.05</v>
      </c>
      <c r="AE53" s="73">
        <f t="shared" si="12"/>
        <v>0</v>
      </c>
    </row>
    <row r="54" spans="1:31" ht="33" customHeight="1">
      <c r="A54" s="158"/>
      <c r="B54" s="162" t="s">
        <v>342</v>
      </c>
      <c r="C54" s="159" t="s">
        <v>60</v>
      </c>
      <c r="D54" s="154" t="s">
        <v>66</v>
      </c>
      <c r="E54" s="155">
        <v>5</v>
      </c>
      <c r="F54" s="157" t="s">
        <v>343</v>
      </c>
      <c r="G54" s="156">
        <v>2</v>
      </c>
      <c r="H54" s="157" t="s">
        <v>344</v>
      </c>
      <c r="I54" s="79" t="str">
        <f t="shared" ref="I54" si="65">IF(ISBLANK(C54),"",IF(L54="L","Baixa",IF(L54="A","Média",IF(L54="","","Alta"))))</f>
        <v>Média</v>
      </c>
      <c r="J54" s="66" t="str">
        <f t="shared" ref="J54" si="66">CONCATENATE(C54,L54)</f>
        <v>EEA</v>
      </c>
      <c r="K54" s="67">
        <f t="shared" ref="K54" si="67">IF(ISBLANK(C54),"",IF(C54="ALI",IF(L54="L",7,IF(L54="A",10,15)),IF(C54="AIE",IF(L54="L",5,IF(L54="A",7,10)),IF(C54="SE",IF(L54="L",4,IF(L54="A",5,7)),IF(OR(C54="EE",C54="CE"),IF(L54="L",3,IF(L54="A",4,6)),0)))))</f>
        <v>4</v>
      </c>
      <c r="L54" s="70" t="str">
        <f t="shared" ref="L54" si="68">IF(OR(ISBLANK(E54),ISBLANK(G54)),IF(OR(C54="ALI",C54="AIE"),"L",IF(OR(C54="EE",C54="SE",C54="CE"),"A","")),IF(C54="EE",IF(G54&gt;=3,IF(E54&gt;=5,"H","A"),IF(G54&gt;=2,IF(E54&gt;=16,"H",IF(E54&lt;=4,"L","A")),IF(E54&lt;=15,"L","A"))),IF(OR(C54="SE",C54="CE"),IF(G54&gt;=4,IF(E54&gt;=6,"H","A"),IF(G54&gt;=2,IF(E54&gt;=20,"H",IF(E54&lt;=5,"L","A")),IF(E54&lt;=19,"L","A"))),IF(OR(C54="ALI",C54="AIE"),IF(G54&gt;=6,IF(E54&gt;=20,"H","A"),IF(G54&gt;=2,IF(E54&gt;=51,"H",IF(E54&lt;=19,"L","A")),IF(E54&lt;=50,"L","A"))),""))))</f>
        <v>A</v>
      </c>
      <c r="M54" s="69" t="str">
        <f t="shared" ref="M54" si="69">CONCATENATE(C54,D54)</f>
        <v>EEI</v>
      </c>
      <c r="N54" s="71">
        <f t="shared" ref="N54" si="70">IF(OR(K54="",K54=0),O54,K54)</f>
        <v>4</v>
      </c>
      <c r="O54" s="78">
        <f>IFERROR(IF(NOT(ISERROR(VLOOKUP(C54,'Deflatores Sisp'!G$42:H$70,2,FALSE))),VLOOKUP(C54,'Deflatores Sisp'!G$42:H$70,2,FALSE),IF(OR(ISBLANK(D54),ISBLANK(C54)),"",VLOOKUP(D54,'Deflatores Sisp'!G$4:H$38,2,FALSE)*K54+VLOOKUP(D54,'Deflatores Sisp'!G$4:I$38,3,FALSE)))*W54,"")</f>
        <v>0.2</v>
      </c>
      <c r="P54" s="120"/>
      <c r="Q54" s="68"/>
      <c r="R54" s="68"/>
      <c r="S54" s="68"/>
      <c r="T54" s="68" t="s">
        <v>59</v>
      </c>
      <c r="U54" s="68"/>
      <c r="V54" s="121"/>
      <c r="W54" s="121">
        <f t="shared" si="29"/>
        <v>0.05</v>
      </c>
      <c r="X54" s="118"/>
      <c r="Y54" s="4"/>
      <c r="Z54" s="73">
        <f t="shared" si="57"/>
        <v>0</v>
      </c>
      <c r="AA54" s="73">
        <f t="shared" si="58"/>
        <v>0</v>
      </c>
      <c r="AB54" s="73">
        <f t="shared" si="59"/>
        <v>0</v>
      </c>
      <c r="AC54" s="73">
        <f t="shared" si="60"/>
        <v>0</v>
      </c>
      <c r="AD54" s="73">
        <f t="shared" si="61"/>
        <v>0.05</v>
      </c>
      <c r="AE54" s="73">
        <f t="shared" ref="AE54" si="71">IF(U54="x",5%,0)</f>
        <v>0</v>
      </c>
    </row>
    <row r="55" spans="1:31" ht="33" customHeight="1">
      <c r="A55" s="158"/>
      <c r="B55" s="162" t="s">
        <v>345</v>
      </c>
      <c r="C55" s="159" t="s">
        <v>60</v>
      </c>
      <c r="D55" s="154" t="s">
        <v>66</v>
      </c>
      <c r="E55" s="155">
        <v>5</v>
      </c>
      <c r="F55" s="157" t="s">
        <v>346</v>
      </c>
      <c r="G55" s="156">
        <v>2</v>
      </c>
      <c r="H55" s="157" t="s">
        <v>347</v>
      </c>
      <c r="I55" s="79" t="str">
        <f t="shared" si="63"/>
        <v>Média</v>
      </c>
      <c r="J55" s="66" t="str">
        <f t="shared" si="1"/>
        <v>EEA</v>
      </c>
      <c r="K55" s="67">
        <f t="shared" si="64"/>
        <v>4</v>
      </c>
      <c r="L55" s="70" t="str">
        <f t="shared" si="3"/>
        <v>A</v>
      </c>
      <c r="M55" s="69" t="str">
        <f t="shared" si="4"/>
        <v>EEI</v>
      </c>
      <c r="N55" s="71">
        <f t="shared" si="10"/>
        <v>4</v>
      </c>
      <c r="O55" s="78">
        <f>IFERROR(IF(NOT(ISERROR(VLOOKUP(C55,'Deflatores Sisp'!G$42:H$70,2,FALSE))),VLOOKUP(C55,'Deflatores Sisp'!G$42:H$70,2,FALSE),IF(OR(ISBLANK(D55),ISBLANK(C55)),"",VLOOKUP(D55,'Deflatores Sisp'!G$4:H$38,2,FALSE)*K55+VLOOKUP(D55,'Deflatores Sisp'!G$4:I$38,3,FALSE)))*W55,"")</f>
        <v>0.2</v>
      </c>
      <c r="P55" s="120"/>
      <c r="Q55" s="68"/>
      <c r="R55" s="68"/>
      <c r="S55" s="68"/>
      <c r="T55" s="68" t="s">
        <v>59</v>
      </c>
      <c r="U55" s="68"/>
      <c r="V55" s="121"/>
      <c r="W55" s="121">
        <f t="shared" si="29"/>
        <v>0.05</v>
      </c>
      <c r="X55" s="118"/>
      <c r="Y55" s="4"/>
      <c r="Z55" s="73">
        <f t="shared" ref="Z55:Z61" si="72">IF(P55="x",25%,0)</f>
        <v>0</v>
      </c>
      <c r="AA55" s="73">
        <f t="shared" ref="AA55:AA61" si="73">IF(Q55="x",10%,0)</f>
        <v>0</v>
      </c>
      <c r="AB55" s="73">
        <f t="shared" ref="AB55:AB61" si="74">IF(R55="x",40%,0)</f>
        <v>0</v>
      </c>
      <c r="AC55" s="73">
        <f t="shared" ref="AC55:AC61" si="75">IF(S55="x",15%,0)</f>
        <v>0</v>
      </c>
      <c r="AD55" s="73">
        <f t="shared" ref="AD55:AD61" si="76">IF(T55="x",5%,0)</f>
        <v>0.05</v>
      </c>
      <c r="AE55" s="73">
        <f t="shared" si="12"/>
        <v>0</v>
      </c>
    </row>
    <row r="56" spans="1:31" ht="33" customHeight="1">
      <c r="A56" s="158"/>
      <c r="B56" s="162" t="s">
        <v>348</v>
      </c>
      <c r="C56" s="159" t="s">
        <v>60</v>
      </c>
      <c r="D56" s="154" t="s">
        <v>66</v>
      </c>
      <c r="E56" s="155">
        <v>1</v>
      </c>
      <c r="F56" s="157" t="s">
        <v>349</v>
      </c>
      <c r="G56" s="156">
        <v>1</v>
      </c>
      <c r="H56" s="157" t="s">
        <v>350</v>
      </c>
      <c r="I56" s="79" t="str">
        <f t="shared" si="39"/>
        <v>Baixa</v>
      </c>
      <c r="J56" s="66" t="str">
        <f t="shared" si="1"/>
        <v>EEL</v>
      </c>
      <c r="K56" s="67">
        <f t="shared" si="40"/>
        <v>3</v>
      </c>
      <c r="L56" s="70" t="str">
        <f t="shared" si="3"/>
        <v>L</v>
      </c>
      <c r="M56" s="69" t="str">
        <f t="shared" si="4"/>
        <v>EEI</v>
      </c>
      <c r="N56" s="71">
        <f t="shared" ref="N56:N113" si="77">IF(OR(K56="",K56=0),O56,K56)</f>
        <v>3</v>
      </c>
      <c r="O56" s="78">
        <f>IFERROR(IF(NOT(ISERROR(VLOOKUP(C56,'Deflatores Sisp'!G$42:H$70,2,FALSE))),VLOOKUP(C56,'Deflatores Sisp'!G$42:H$70,2,FALSE),IF(OR(ISBLANK(D56),ISBLANK(C56)),"",VLOOKUP(D56,'Deflatores Sisp'!G$4:H$38,2,FALSE)*K56+VLOOKUP(D56,'Deflatores Sisp'!G$4:I$38,3,FALSE)))*W56,"")</f>
        <v>0.15000000000000002</v>
      </c>
      <c r="P56" s="120"/>
      <c r="Q56" s="68"/>
      <c r="R56" s="68"/>
      <c r="S56" s="68"/>
      <c r="T56" s="68" t="s">
        <v>59</v>
      </c>
      <c r="U56" s="68"/>
      <c r="V56" s="121"/>
      <c r="W56" s="121">
        <f t="shared" si="29"/>
        <v>0.05</v>
      </c>
      <c r="X56" s="119"/>
      <c r="Y56" s="4"/>
      <c r="Z56" s="73">
        <f t="shared" si="72"/>
        <v>0</v>
      </c>
      <c r="AA56" s="73">
        <f t="shared" si="73"/>
        <v>0</v>
      </c>
      <c r="AB56" s="73">
        <f t="shared" si="74"/>
        <v>0</v>
      </c>
      <c r="AC56" s="73">
        <f t="shared" si="75"/>
        <v>0</v>
      </c>
      <c r="AD56" s="73">
        <f t="shared" si="76"/>
        <v>0.05</v>
      </c>
      <c r="AE56" s="73">
        <f t="shared" si="12"/>
        <v>0</v>
      </c>
    </row>
    <row r="57" spans="1:31" ht="33" customHeight="1">
      <c r="A57" s="158"/>
      <c r="B57" s="162" t="s">
        <v>351</v>
      </c>
      <c r="C57" s="159" t="s">
        <v>60</v>
      </c>
      <c r="D57" s="154" t="s">
        <v>66</v>
      </c>
      <c r="E57" s="155">
        <v>10</v>
      </c>
      <c r="F57" s="157" t="s">
        <v>352</v>
      </c>
      <c r="G57" s="156">
        <v>1</v>
      </c>
      <c r="H57" s="157" t="s">
        <v>353</v>
      </c>
      <c r="I57" s="79" t="str">
        <f t="shared" ref="I57:I58" si="78">IF(ISBLANK(C57),"",IF(L57="L","Baixa",IF(L57="A","Média",IF(L57="","","Alta"))))</f>
        <v>Baixa</v>
      </c>
      <c r="J57" s="66" t="str">
        <f t="shared" si="1"/>
        <v>EEL</v>
      </c>
      <c r="K57" s="67">
        <f t="shared" ref="K57:K58" si="79">IF(ISBLANK(C57),"",IF(C57="ALI",IF(L57="L",7,IF(L57="A",10,15)),IF(C57="AIE",IF(L57="L",5,IF(L57="A",7,10)),IF(C57="SE",IF(L57="L",4,IF(L57="A",5,7)),IF(OR(C57="EE",C57="CE"),IF(L57="L",3,IF(L57="A",4,6)),0)))))</f>
        <v>3</v>
      </c>
      <c r="L57" s="70" t="str">
        <f t="shared" si="3"/>
        <v>L</v>
      </c>
      <c r="M57" s="69" t="str">
        <f t="shared" si="4"/>
        <v>EEI</v>
      </c>
      <c r="N57" s="71">
        <f t="shared" si="77"/>
        <v>3</v>
      </c>
      <c r="O57" s="78">
        <f>IFERROR(IF(NOT(ISERROR(VLOOKUP(C57,'Deflatores Sisp'!G$42:H$70,2,FALSE))),VLOOKUP(C57,'Deflatores Sisp'!G$42:H$70,2,FALSE),IF(OR(ISBLANK(D57),ISBLANK(C57)),"",VLOOKUP(D57,'Deflatores Sisp'!G$4:H$38,2,FALSE)*K57+VLOOKUP(D57,'Deflatores Sisp'!G$4:I$38,3,FALSE)))*W57,"")</f>
        <v>0.15000000000000002</v>
      </c>
      <c r="P57" s="120"/>
      <c r="Q57" s="68"/>
      <c r="R57" s="68"/>
      <c r="S57" s="68"/>
      <c r="T57" s="68" t="s">
        <v>59</v>
      </c>
      <c r="U57" s="68"/>
      <c r="V57" s="121"/>
      <c r="W57" s="121">
        <f t="shared" si="29"/>
        <v>0.05</v>
      </c>
      <c r="X57" s="118"/>
      <c r="Y57" s="4"/>
      <c r="Z57" s="73">
        <f t="shared" si="72"/>
        <v>0</v>
      </c>
      <c r="AA57" s="73">
        <f t="shared" si="73"/>
        <v>0</v>
      </c>
      <c r="AB57" s="73">
        <f t="shared" si="74"/>
        <v>0</v>
      </c>
      <c r="AC57" s="73">
        <f t="shared" si="75"/>
        <v>0</v>
      </c>
      <c r="AD57" s="73">
        <f t="shared" si="76"/>
        <v>0.05</v>
      </c>
      <c r="AE57" s="73">
        <f t="shared" si="12"/>
        <v>0</v>
      </c>
    </row>
    <row r="58" spans="1:31" ht="33" customHeight="1">
      <c r="A58" s="158"/>
      <c r="B58" s="162" t="s">
        <v>354</v>
      </c>
      <c r="C58" s="159" t="s">
        <v>60</v>
      </c>
      <c r="D58" s="154" t="s">
        <v>66</v>
      </c>
      <c r="E58" s="155">
        <v>10</v>
      </c>
      <c r="F58" s="157" t="s">
        <v>355</v>
      </c>
      <c r="G58" s="156">
        <v>1</v>
      </c>
      <c r="H58" s="157" t="s">
        <v>356</v>
      </c>
      <c r="I58" s="79" t="str">
        <f t="shared" si="78"/>
        <v>Baixa</v>
      </c>
      <c r="J58" s="66" t="str">
        <f t="shared" si="1"/>
        <v>EEL</v>
      </c>
      <c r="K58" s="67">
        <f t="shared" si="79"/>
        <v>3</v>
      </c>
      <c r="L58" s="70" t="str">
        <f t="shared" si="3"/>
        <v>L</v>
      </c>
      <c r="M58" s="69" t="str">
        <f t="shared" si="4"/>
        <v>EEI</v>
      </c>
      <c r="N58" s="71">
        <f t="shared" si="77"/>
        <v>3</v>
      </c>
      <c r="O58" s="78">
        <f>IFERROR(IF(NOT(ISERROR(VLOOKUP(C58,'Deflatores Sisp'!G$42:H$70,2,FALSE))),VLOOKUP(C58,'Deflatores Sisp'!G$42:H$70,2,FALSE),IF(OR(ISBLANK(D58),ISBLANK(C58)),"",VLOOKUP(D58,'Deflatores Sisp'!G$4:H$38,2,FALSE)*K58+VLOOKUP(D58,'Deflatores Sisp'!G$4:I$38,3,FALSE)))*W58,"")</f>
        <v>0.15000000000000002</v>
      </c>
      <c r="P58" s="120"/>
      <c r="Q58" s="68"/>
      <c r="R58" s="68"/>
      <c r="S58" s="68"/>
      <c r="T58" s="68" t="s">
        <v>59</v>
      </c>
      <c r="U58" s="68"/>
      <c r="V58" s="121"/>
      <c r="W58" s="121">
        <f t="shared" si="29"/>
        <v>0.05</v>
      </c>
      <c r="X58" s="118"/>
      <c r="Y58" s="4"/>
      <c r="Z58" s="73">
        <f t="shared" si="72"/>
        <v>0</v>
      </c>
      <c r="AA58" s="73">
        <f t="shared" si="73"/>
        <v>0</v>
      </c>
      <c r="AB58" s="73">
        <f t="shared" si="74"/>
        <v>0</v>
      </c>
      <c r="AC58" s="73">
        <f t="shared" si="75"/>
        <v>0</v>
      </c>
      <c r="AD58" s="73">
        <f t="shared" si="76"/>
        <v>0.05</v>
      </c>
      <c r="AE58" s="73">
        <f t="shared" si="12"/>
        <v>0</v>
      </c>
    </row>
    <row r="59" spans="1:31" ht="33" customHeight="1">
      <c r="A59" s="158"/>
      <c r="B59" s="162" t="s">
        <v>357</v>
      </c>
      <c r="C59" s="159" t="s">
        <v>60</v>
      </c>
      <c r="D59" s="154" t="s">
        <v>66</v>
      </c>
      <c r="E59" s="155">
        <v>2</v>
      </c>
      <c r="F59" s="157" t="s">
        <v>334</v>
      </c>
      <c r="G59" s="156">
        <v>1</v>
      </c>
      <c r="H59" s="157" t="s">
        <v>356</v>
      </c>
      <c r="I59" s="79" t="str">
        <f t="shared" ref="I59:I62" si="80">IF(ISBLANK(C59),"",IF(L59="L","Baixa",IF(L59="A","Média",IF(L59="","","Alta"))))</f>
        <v>Baixa</v>
      </c>
      <c r="J59" s="66" t="str">
        <f t="shared" si="1"/>
        <v>EEL</v>
      </c>
      <c r="K59" s="67">
        <f t="shared" ref="K59:K62" si="81">IF(ISBLANK(C59),"",IF(C59="ALI",IF(L59="L",7,IF(L59="A",10,15)),IF(C59="AIE",IF(L59="L",5,IF(L59="A",7,10)),IF(C59="SE",IF(L59="L",4,IF(L59="A",5,7)),IF(OR(C59="EE",C59="CE"),IF(L59="L",3,IF(L59="A",4,6)),0)))))</f>
        <v>3</v>
      </c>
      <c r="L59" s="70" t="str">
        <f t="shared" si="3"/>
        <v>L</v>
      </c>
      <c r="M59" s="69" t="str">
        <f t="shared" si="4"/>
        <v>EEI</v>
      </c>
      <c r="N59" s="71">
        <f t="shared" si="77"/>
        <v>3</v>
      </c>
      <c r="O59" s="78">
        <f>IFERROR(IF(NOT(ISERROR(VLOOKUP(C59,'Deflatores Sisp'!G$42:H$70,2,FALSE))),VLOOKUP(C59,'Deflatores Sisp'!G$42:H$70,2,FALSE),IF(OR(ISBLANK(D59),ISBLANK(C59)),"",VLOOKUP(D59,'Deflatores Sisp'!G$4:H$38,2,FALSE)*K59+VLOOKUP(D59,'Deflatores Sisp'!G$4:I$38,3,FALSE)))*W59,"")</f>
        <v>0.15000000000000002</v>
      </c>
      <c r="P59" s="120"/>
      <c r="Q59" s="68"/>
      <c r="R59" s="68"/>
      <c r="S59" s="68"/>
      <c r="T59" s="68" t="s">
        <v>59</v>
      </c>
      <c r="U59" s="68"/>
      <c r="V59" s="121"/>
      <c r="W59" s="121">
        <f t="shared" si="29"/>
        <v>0.05</v>
      </c>
      <c r="X59" s="118"/>
      <c r="Y59" s="4"/>
      <c r="Z59" s="73">
        <f t="shared" si="72"/>
        <v>0</v>
      </c>
      <c r="AA59" s="73">
        <f t="shared" si="73"/>
        <v>0</v>
      </c>
      <c r="AB59" s="73">
        <f t="shared" si="74"/>
        <v>0</v>
      </c>
      <c r="AC59" s="73">
        <f t="shared" si="75"/>
        <v>0</v>
      </c>
      <c r="AD59" s="73">
        <f t="shared" si="76"/>
        <v>0.05</v>
      </c>
      <c r="AE59" s="73">
        <f>IF(U59="x",5%,0)</f>
        <v>0</v>
      </c>
    </row>
    <row r="60" spans="1:31" ht="33" customHeight="1">
      <c r="A60" s="158"/>
      <c r="B60" s="162" t="s">
        <v>358</v>
      </c>
      <c r="C60" s="159" t="s">
        <v>60</v>
      </c>
      <c r="D60" s="154" t="s">
        <v>66</v>
      </c>
      <c r="E60" s="155">
        <v>4</v>
      </c>
      <c r="F60" s="157" t="s">
        <v>359</v>
      </c>
      <c r="G60" s="156">
        <v>1</v>
      </c>
      <c r="H60" s="157" t="s">
        <v>360</v>
      </c>
      <c r="I60" s="79" t="str">
        <f t="shared" si="80"/>
        <v>Baixa</v>
      </c>
      <c r="J60" s="66" t="str">
        <f t="shared" si="1"/>
        <v>EEL</v>
      </c>
      <c r="K60" s="67">
        <f t="shared" si="81"/>
        <v>3</v>
      </c>
      <c r="L60" s="70" t="str">
        <f t="shared" si="3"/>
        <v>L</v>
      </c>
      <c r="M60" s="69" t="str">
        <f t="shared" si="4"/>
        <v>EEI</v>
      </c>
      <c r="N60" s="71">
        <f t="shared" si="77"/>
        <v>3</v>
      </c>
      <c r="O60" s="78">
        <f>IFERROR(IF(NOT(ISERROR(VLOOKUP(C60,'Deflatores Sisp'!G$42:H$70,2,FALSE))),VLOOKUP(C60,'Deflatores Sisp'!G$42:H$70,2,FALSE),IF(OR(ISBLANK(D60),ISBLANK(C60)),"",VLOOKUP(D60,'Deflatores Sisp'!G$4:H$38,2,FALSE)*K60+VLOOKUP(D60,'Deflatores Sisp'!G$4:I$38,3,FALSE)))*W60,"")</f>
        <v>0.15000000000000002</v>
      </c>
      <c r="P60" s="120"/>
      <c r="Q60" s="68"/>
      <c r="R60" s="68"/>
      <c r="S60" s="68"/>
      <c r="T60" s="68" t="s">
        <v>59</v>
      </c>
      <c r="U60" s="68"/>
      <c r="V60" s="121"/>
      <c r="W60" s="121">
        <f t="shared" si="29"/>
        <v>0.05</v>
      </c>
      <c r="X60" s="119"/>
      <c r="Y60" s="4"/>
      <c r="Z60" s="73">
        <f t="shared" si="72"/>
        <v>0</v>
      </c>
      <c r="AA60" s="73">
        <f t="shared" si="73"/>
        <v>0</v>
      </c>
      <c r="AB60" s="73">
        <f t="shared" si="74"/>
        <v>0</v>
      </c>
      <c r="AC60" s="73">
        <f t="shared" si="75"/>
        <v>0</v>
      </c>
      <c r="AD60" s="73">
        <f t="shared" si="76"/>
        <v>0.05</v>
      </c>
      <c r="AE60" s="73">
        <f t="shared" ref="AE60:AE62" si="82">IF(U60="x",5%,0)</f>
        <v>0</v>
      </c>
    </row>
    <row r="61" spans="1:31" ht="33" customHeight="1">
      <c r="A61" s="158"/>
      <c r="B61" s="162" t="s">
        <v>361</v>
      </c>
      <c r="C61" s="159" t="s">
        <v>60</v>
      </c>
      <c r="D61" s="154" t="s">
        <v>66</v>
      </c>
      <c r="E61" s="155">
        <v>4</v>
      </c>
      <c r="F61" s="157" t="s">
        <v>362</v>
      </c>
      <c r="G61" s="156">
        <v>1</v>
      </c>
      <c r="H61" s="157" t="s">
        <v>363</v>
      </c>
      <c r="I61" s="79" t="str">
        <f t="shared" si="80"/>
        <v>Baixa</v>
      </c>
      <c r="J61" s="66" t="str">
        <f t="shared" si="1"/>
        <v>EEL</v>
      </c>
      <c r="K61" s="67">
        <f t="shared" si="81"/>
        <v>3</v>
      </c>
      <c r="L61" s="70" t="str">
        <f t="shared" si="3"/>
        <v>L</v>
      </c>
      <c r="M61" s="69" t="str">
        <f t="shared" si="4"/>
        <v>EEI</v>
      </c>
      <c r="N61" s="71">
        <f t="shared" si="77"/>
        <v>3</v>
      </c>
      <c r="O61" s="78">
        <f>IFERROR(IF(NOT(ISERROR(VLOOKUP(C61,'Deflatores Sisp'!G$42:H$70,2,FALSE))),VLOOKUP(C61,'Deflatores Sisp'!G$42:H$70,2,FALSE),IF(OR(ISBLANK(D61),ISBLANK(C61)),"",VLOOKUP(D61,'Deflatores Sisp'!G$4:H$38,2,FALSE)*K61+VLOOKUP(D61,'Deflatores Sisp'!G$4:I$38,3,FALSE)))*W61,"")</f>
        <v>0.15000000000000002</v>
      </c>
      <c r="P61" s="120"/>
      <c r="Q61" s="68"/>
      <c r="R61" s="68"/>
      <c r="S61" s="68"/>
      <c r="T61" s="68" t="s">
        <v>59</v>
      </c>
      <c r="U61" s="68"/>
      <c r="V61" s="121"/>
      <c r="W61" s="121">
        <f t="shared" si="29"/>
        <v>0.05</v>
      </c>
      <c r="X61" s="118"/>
      <c r="Y61" s="4"/>
      <c r="Z61" s="73">
        <f t="shared" si="72"/>
        <v>0</v>
      </c>
      <c r="AA61" s="73">
        <f t="shared" si="73"/>
        <v>0</v>
      </c>
      <c r="AB61" s="73">
        <f t="shared" si="74"/>
        <v>0</v>
      </c>
      <c r="AC61" s="73">
        <f t="shared" si="75"/>
        <v>0</v>
      </c>
      <c r="AD61" s="73">
        <f t="shared" si="76"/>
        <v>0.05</v>
      </c>
      <c r="AE61" s="73">
        <f t="shared" si="82"/>
        <v>0</v>
      </c>
    </row>
    <row r="62" spans="1:31" ht="33" customHeight="1">
      <c r="A62" s="158"/>
      <c r="B62" s="162" t="s">
        <v>364</v>
      </c>
      <c r="C62" s="159" t="s">
        <v>60</v>
      </c>
      <c r="D62" s="154" t="s">
        <v>66</v>
      </c>
      <c r="E62" s="155">
        <v>10</v>
      </c>
      <c r="F62" s="157" t="s">
        <v>365</v>
      </c>
      <c r="G62" s="156">
        <v>3</v>
      </c>
      <c r="H62" s="157" t="s">
        <v>366</v>
      </c>
      <c r="I62" s="79" t="str">
        <f t="shared" si="80"/>
        <v>Alta</v>
      </c>
      <c r="J62" s="66" t="str">
        <f t="shared" si="1"/>
        <v>EEH</v>
      </c>
      <c r="K62" s="67">
        <f t="shared" si="81"/>
        <v>6</v>
      </c>
      <c r="L62" s="70" t="str">
        <f t="shared" si="3"/>
        <v>H</v>
      </c>
      <c r="M62" s="69" t="str">
        <f t="shared" si="4"/>
        <v>EEI</v>
      </c>
      <c r="N62" s="71">
        <f t="shared" si="77"/>
        <v>6</v>
      </c>
      <c r="O62" s="78">
        <f>IFERROR(IF(NOT(ISERROR(VLOOKUP(C62,'Deflatores Sisp'!G$42:H$70,2,FALSE))),VLOOKUP(C62,'Deflatores Sisp'!G$42:H$70,2,FALSE),IF(OR(ISBLANK(D62),ISBLANK(C62)),"",VLOOKUP(D62,'Deflatores Sisp'!G$4:H$38,2,FALSE)*K62+VLOOKUP(D62,'Deflatores Sisp'!G$4:I$38,3,FALSE)))*W62,"")</f>
        <v>0.30000000000000004</v>
      </c>
      <c r="P62" s="120"/>
      <c r="Q62" s="68"/>
      <c r="R62" s="68"/>
      <c r="S62" s="68"/>
      <c r="T62" s="68" t="s">
        <v>59</v>
      </c>
      <c r="U62" s="68"/>
      <c r="V62" s="121"/>
      <c r="W62" s="121">
        <f t="shared" si="29"/>
        <v>0.05</v>
      </c>
      <c r="X62" s="118"/>
      <c r="Y62" s="4"/>
      <c r="Z62" s="73">
        <f t="shared" ref="Z62:Z67" si="83">IF(P62="x",25%,0)</f>
        <v>0</v>
      </c>
      <c r="AA62" s="73">
        <f t="shared" ref="AA62:AA67" si="84">IF(Q62="x",10%,0)</f>
        <v>0</v>
      </c>
      <c r="AB62" s="73">
        <f t="shared" ref="AB62:AB67" si="85">IF(R62="x",40%,0)</f>
        <v>0</v>
      </c>
      <c r="AC62" s="73">
        <f t="shared" ref="AC62:AC67" si="86">IF(S62="x",15%,0)</f>
        <v>0</v>
      </c>
      <c r="AD62" s="73">
        <f t="shared" ref="AD62:AD67" si="87">IF(T62="x",5%,0)</f>
        <v>0.05</v>
      </c>
      <c r="AE62" s="73">
        <f t="shared" si="82"/>
        <v>0</v>
      </c>
    </row>
    <row r="63" spans="1:31" ht="33" customHeight="1">
      <c r="A63" s="158"/>
      <c r="B63" s="162" t="s">
        <v>367</v>
      </c>
      <c r="C63" s="159" t="s">
        <v>60</v>
      </c>
      <c r="D63" s="154" t="s">
        <v>66</v>
      </c>
      <c r="E63" s="155">
        <v>2</v>
      </c>
      <c r="F63" s="157" t="s">
        <v>368</v>
      </c>
      <c r="G63" s="156">
        <v>1</v>
      </c>
      <c r="H63" s="157" t="s">
        <v>369</v>
      </c>
      <c r="I63" s="79" t="str">
        <f t="shared" ref="I63:I65" si="88">IF(ISBLANK(C63),"",IF(L63="L","Baixa",IF(L63="A","Média",IF(L63="","","Alta"))))</f>
        <v>Baixa</v>
      </c>
      <c r="J63" s="66" t="str">
        <f t="shared" si="1"/>
        <v>EEL</v>
      </c>
      <c r="K63" s="67">
        <f t="shared" ref="K63:K65" si="89">IF(ISBLANK(C63),"",IF(C63="ALI",IF(L63="L",7,IF(L63="A",10,15)),IF(C63="AIE",IF(L63="L",5,IF(L63="A",7,10)),IF(C63="SE",IF(L63="L",4,IF(L63="A",5,7)),IF(OR(C63="EE",C63="CE"),IF(L63="L",3,IF(L63="A",4,6)),0)))))</f>
        <v>3</v>
      </c>
      <c r="L63" s="70" t="str">
        <f t="shared" si="3"/>
        <v>L</v>
      </c>
      <c r="M63" s="69" t="str">
        <f t="shared" si="4"/>
        <v>EEI</v>
      </c>
      <c r="N63" s="71">
        <f t="shared" si="77"/>
        <v>3</v>
      </c>
      <c r="O63" s="78">
        <f>IFERROR(IF(NOT(ISERROR(VLOOKUP(C63,'Deflatores Sisp'!G$42:H$70,2,FALSE))),VLOOKUP(C63,'Deflatores Sisp'!G$42:H$70,2,FALSE),IF(OR(ISBLANK(D63),ISBLANK(C63)),"",VLOOKUP(D63,'Deflatores Sisp'!G$4:H$38,2,FALSE)*K63+VLOOKUP(D63,'Deflatores Sisp'!G$4:I$38,3,FALSE)))*W63,"")</f>
        <v>0.15000000000000002</v>
      </c>
      <c r="P63" s="120"/>
      <c r="Q63" s="68"/>
      <c r="R63" s="68"/>
      <c r="S63" s="68"/>
      <c r="T63" s="68" t="s">
        <v>59</v>
      </c>
      <c r="U63" s="68"/>
      <c r="V63" s="121"/>
      <c r="W63" s="121">
        <f t="shared" si="29"/>
        <v>0.05</v>
      </c>
      <c r="X63" s="119"/>
      <c r="Y63" s="4"/>
      <c r="Z63" s="73">
        <f t="shared" si="83"/>
        <v>0</v>
      </c>
      <c r="AA63" s="73">
        <f t="shared" si="84"/>
        <v>0</v>
      </c>
      <c r="AB63" s="73">
        <f t="shared" si="85"/>
        <v>0</v>
      </c>
      <c r="AC63" s="73">
        <f t="shared" si="86"/>
        <v>0</v>
      </c>
      <c r="AD63" s="73">
        <f t="shared" si="87"/>
        <v>0.05</v>
      </c>
      <c r="AE63" s="73">
        <f t="shared" ref="AE63:AE65" si="90">IF(U63="x",5%,0)</f>
        <v>0</v>
      </c>
    </row>
    <row r="64" spans="1:31" ht="33" customHeight="1">
      <c r="A64" s="158"/>
      <c r="B64" s="162" t="s">
        <v>370</v>
      </c>
      <c r="C64" s="159" t="s">
        <v>60</v>
      </c>
      <c r="D64" s="154" t="s">
        <v>66</v>
      </c>
      <c r="E64" s="155">
        <v>3</v>
      </c>
      <c r="F64" s="157" t="s">
        <v>371</v>
      </c>
      <c r="G64" s="156">
        <v>1</v>
      </c>
      <c r="H64" s="157" t="s">
        <v>372</v>
      </c>
      <c r="I64" s="79" t="str">
        <f t="shared" si="88"/>
        <v>Baixa</v>
      </c>
      <c r="J64" s="66" t="str">
        <f t="shared" si="1"/>
        <v>EEL</v>
      </c>
      <c r="K64" s="67">
        <f t="shared" si="89"/>
        <v>3</v>
      </c>
      <c r="L64" s="70" t="str">
        <f t="shared" si="3"/>
        <v>L</v>
      </c>
      <c r="M64" s="69" t="str">
        <f t="shared" si="4"/>
        <v>EEI</v>
      </c>
      <c r="N64" s="71">
        <f t="shared" si="77"/>
        <v>3</v>
      </c>
      <c r="O64" s="78">
        <f>IFERROR(IF(NOT(ISERROR(VLOOKUP(C64,'Deflatores Sisp'!G$42:H$70,2,FALSE))),VLOOKUP(C64,'Deflatores Sisp'!G$42:H$70,2,FALSE),IF(OR(ISBLANK(D64),ISBLANK(C64)),"",VLOOKUP(D64,'Deflatores Sisp'!G$4:H$38,2,FALSE)*K64+VLOOKUP(D64,'Deflatores Sisp'!G$4:I$38,3,FALSE)))*W64,"")</f>
        <v>0.15000000000000002</v>
      </c>
      <c r="P64" s="120"/>
      <c r="Q64" s="68"/>
      <c r="R64" s="68"/>
      <c r="S64" s="68"/>
      <c r="T64" s="68" t="s">
        <v>59</v>
      </c>
      <c r="U64" s="68"/>
      <c r="V64" s="121"/>
      <c r="W64" s="121">
        <f t="shared" si="29"/>
        <v>0.05</v>
      </c>
      <c r="X64" s="118"/>
      <c r="Y64" s="4"/>
      <c r="Z64" s="73">
        <f t="shared" si="83"/>
        <v>0</v>
      </c>
      <c r="AA64" s="73">
        <f t="shared" si="84"/>
        <v>0</v>
      </c>
      <c r="AB64" s="73">
        <f t="shared" si="85"/>
        <v>0</v>
      </c>
      <c r="AC64" s="73">
        <f t="shared" si="86"/>
        <v>0</v>
      </c>
      <c r="AD64" s="73">
        <f t="shared" si="87"/>
        <v>0.05</v>
      </c>
      <c r="AE64" s="73">
        <f t="shared" si="90"/>
        <v>0</v>
      </c>
    </row>
    <row r="65" spans="1:31" ht="33" customHeight="1">
      <c r="A65" s="158"/>
      <c r="B65" s="162" t="s">
        <v>373</v>
      </c>
      <c r="C65" s="159" t="s">
        <v>60</v>
      </c>
      <c r="D65" s="154" t="s">
        <v>66</v>
      </c>
      <c r="E65" s="155">
        <v>8</v>
      </c>
      <c r="F65" s="157" t="s">
        <v>374</v>
      </c>
      <c r="G65" s="156">
        <v>4</v>
      </c>
      <c r="H65" s="157" t="s">
        <v>375</v>
      </c>
      <c r="I65" s="79" t="str">
        <f t="shared" si="88"/>
        <v>Alta</v>
      </c>
      <c r="J65" s="66" t="str">
        <f t="shared" si="1"/>
        <v>EEH</v>
      </c>
      <c r="K65" s="67">
        <f t="shared" si="89"/>
        <v>6</v>
      </c>
      <c r="L65" s="70" t="str">
        <f t="shared" si="3"/>
        <v>H</v>
      </c>
      <c r="M65" s="69" t="str">
        <f t="shared" si="4"/>
        <v>EEI</v>
      </c>
      <c r="N65" s="71">
        <f t="shared" si="77"/>
        <v>6</v>
      </c>
      <c r="O65" s="78">
        <f>IFERROR(IF(NOT(ISERROR(VLOOKUP(C65,'Deflatores Sisp'!G$42:H$70,2,FALSE))),VLOOKUP(C65,'Deflatores Sisp'!G$42:H$70,2,FALSE),IF(OR(ISBLANK(D65),ISBLANK(C65)),"",VLOOKUP(D65,'Deflatores Sisp'!G$4:H$38,2,FALSE)*K65+VLOOKUP(D65,'Deflatores Sisp'!G$4:I$38,3,FALSE)))*W65,"")</f>
        <v>0.30000000000000004</v>
      </c>
      <c r="P65" s="120"/>
      <c r="Q65" s="68"/>
      <c r="R65" s="68"/>
      <c r="S65" s="68"/>
      <c r="T65" s="68" t="s">
        <v>59</v>
      </c>
      <c r="U65" s="68"/>
      <c r="V65" s="121"/>
      <c r="W65" s="121">
        <f t="shared" si="29"/>
        <v>0.05</v>
      </c>
      <c r="X65" s="118"/>
      <c r="Y65" s="4"/>
      <c r="Z65" s="73">
        <f t="shared" si="83"/>
        <v>0</v>
      </c>
      <c r="AA65" s="73">
        <f t="shared" si="84"/>
        <v>0</v>
      </c>
      <c r="AB65" s="73">
        <f t="shared" si="85"/>
        <v>0</v>
      </c>
      <c r="AC65" s="73">
        <f t="shared" si="86"/>
        <v>0</v>
      </c>
      <c r="AD65" s="73">
        <f t="shared" si="87"/>
        <v>0.05</v>
      </c>
      <c r="AE65" s="73">
        <f t="shared" si="90"/>
        <v>0</v>
      </c>
    </row>
    <row r="66" spans="1:31" ht="33" customHeight="1">
      <c r="A66" s="158"/>
      <c r="B66" s="162" t="s">
        <v>376</v>
      </c>
      <c r="C66" s="159" t="s">
        <v>60</v>
      </c>
      <c r="D66" s="154" t="s">
        <v>66</v>
      </c>
      <c r="E66" s="155">
        <v>6</v>
      </c>
      <c r="F66" s="157" t="s">
        <v>377</v>
      </c>
      <c r="G66" s="156">
        <v>1</v>
      </c>
      <c r="H66" s="157" t="s">
        <v>378</v>
      </c>
      <c r="I66" s="79" t="str">
        <f t="shared" si="39"/>
        <v>Baixa</v>
      </c>
      <c r="J66" s="66" t="str">
        <f t="shared" si="1"/>
        <v>EEL</v>
      </c>
      <c r="K66" s="67">
        <f t="shared" si="40"/>
        <v>3</v>
      </c>
      <c r="L66" s="70" t="str">
        <f t="shared" si="3"/>
        <v>L</v>
      </c>
      <c r="M66" s="69" t="str">
        <f t="shared" si="4"/>
        <v>EEI</v>
      </c>
      <c r="N66" s="71">
        <f t="shared" si="77"/>
        <v>3</v>
      </c>
      <c r="O66" s="78">
        <f>IFERROR(IF(NOT(ISERROR(VLOOKUP(C66,'Deflatores Sisp'!G$42:H$70,2,FALSE))),VLOOKUP(C66,'Deflatores Sisp'!G$42:H$70,2,FALSE),IF(OR(ISBLANK(D66),ISBLANK(C66)),"",VLOOKUP(D66,'Deflatores Sisp'!G$4:H$38,2,FALSE)*K66+VLOOKUP(D66,'Deflatores Sisp'!G$4:I$38,3,FALSE)))*W66,"")</f>
        <v>0.15000000000000002</v>
      </c>
      <c r="P66" s="120"/>
      <c r="Q66" s="68"/>
      <c r="R66" s="68"/>
      <c r="S66" s="68"/>
      <c r="T66" s="68" t="s">
        <v>59</v>
      </c>
      <c r="U66" s="68"/>
      <c r="V66" s="121"/>
      <c r="W66" s="121">
        <f t="shared" si="29"/>
        <v>0.05</v>
      </c>
      <c r="X66" s="119"/>
      <c r="Y66" s="4"/>
      <c r="Z66" s="73">
        <f t="shared" si="83"/>
        <v>0</v>
      </c>
      <c r="AA66" s="73">
        <f t="shared" si="84"/>
        <v>0</v>
      </c>
      <c r="AB66" s="73">
        <f t="shared" si="85"/>
        <v>0</v>
      </c>
      <c r="AC66" s="73">
        <f t="shared" si="86"/>
        <v>0</v>
      </c>
      <c r="AD66" s="73">
        <f t="shared" si="87"/>
        <v>0.05</v>
      </c>
      <c r="AE66" s="73">
        <f t="shared" si="12"/>
        <v>0</v>
      </c>
    </row>
    <row r="67" spans="1:31" ht="33" customHeight="1">
      <c r="A67" s="158"/>
      <c r="B67" s="162" t="s">
        <v>379</v>
      </c>
      <c r="C67" s="159" t="s">
        <v>60</v>
      </c>
      <c r="D67" s="154" t="s">
        <v>66</v>
      </c>
      <c r="E67" s="155">
        <v>6</v>
      </c>
      <c r="F67" s="157" t="s">
        <v>380</v>
      </c>
      <c r="G67" s="156">
        <v>1</v>
      </c>
      <c r="H67" s="157" t="s">
        <v>381</v>
      </c>
      <c r="I67" s="79" t="str">
        <f t="shared" si="39"/>
        <v>Baixa</v>
      </c>
      <c r="J67" s="66" t="str">
        <f t="shared" si="1"/>
        <v>EEL</v>
      </c>
      <c r="K67" s="67">
        <f t="shared" si="40"/>
        <v>3</v>
      </c>
      <c r="L67" s="70" t="str">
        <f t="shared" si="3"/>
        <v>L</v>
      </c>
      <c r="M67" s="69" t="str">
        <f t="shared" si="4"/>
        <v>EEI</v>
      </c>
      <c r="N67" s="71">
        <f t="shared" si="77"/>
        <v>3</v>
      </c>
      <c r="O67" s="78">
        <f>IFERROR(IF(NOT(ISERROR(VLOOKUP(C67,'Deflatores Sisp'!G$42:H$70,2,FALSE))),VLOOKUP(C67,'Deflatores Sisp'!G$42:H$70,2,FALSE),IF(OR(ISBLANK(D67),ISBLANK(C67)),"",VLOOKUP(D67,'Deflatores Sisp'!G$4:H$38,2,FALSE)*K67+VLOOKUP(D67,'Deflatores Sisp'!G$4:I$38,3,FALSE)))*W67,"")</f>
        <v>0.15000000000000002</v>
      </c>
      <c r="P67" s="120"/>
      <c r="Q67" s="68"/>
      <c r="R67" s="68"/>
      <c r="S67" s="68"/>
      <c r="T67" s="68" t="s">
        <v>59</v>
      </c>
      <c r="U67" s="68"/>
      <c r="V67" s="121"/>
      <c r="W67" s="121">
        <f t="shared" si="29"/>
        <v>0.05</v>
      </c>
      <c r="X67" s="118"/>
      <c r="Y67" s="4"/>
      <c r="Z67" s="73">
        <f t="shared" si="83"/>
        <v>0</v>
      </c>
      <c r="AA67" s="73">
        <f t="shared" si="84"/>
        <v>0</v>
      </c>
      <c r="AB67" s="73">
        <f t="shared" si="85"/>
        <v>0</v>
      </c>
      <c r="AC67" s="73">
        <f t="shared" si="86"/>
        <v>0</v>
      </c>
      <c r="AD67" s="73">
        <f t="shared" si="87"/>
        <v>0.05</v>
      </c>
      <c r="AE67" s="73">
        <f t="shared" si="12"/>
        <v>0</v>
      </c>
    </row>
    <row r="68" spans="1:31" ht="33" customHeight="1">
      <c r="A68" s="158"/>
      <c r="B68" s="162" t="s">
        <v>382</v>
      </c>
      <c r="C68" s="159" t="s">
        <v>60</v>
      </c>
      <c r="D68" s="154" t="s">
        <v>66</v>
      </c>
      <c r="E68" s="155">
        <v>1</v>
      </c>
      <c r="F68" s="157" t="s">
        <v>383</v>
      </c>
      <c r="G68" s="156">
        <v>1</v>
      </c>
      <c r="H68" s="157" t="s">
        <v>384</v>
      </c>
      <c r="I68" s="79" t="str">
        <f t="shared" si="39"/>
        <v>Baixa</v>
      </c>
      <c r="J68" s="66" t="str">
        <f t="shared" si="1"/>
        <v>EEL</v>
      </c>
      <c r="K68" s="67">
        <f t="shared" si="40"/>
        <v>3</v>
      </c>
      <c r="L68" s="70" t="str">
        <f t="shared" si="3"/>
        <v>L</v>
      </c>
      <c r="M68" s="69" t="str">
        <f t="shared" si="4"/>
        <v>EEI</v>
      </c>
      <c r="N68" s="71">
        <f t="shared" si="77"/>
        <v>3</v>
      </c>
      <c r="O68" s="78">
        <f>IFERROR(IF(NOT(ISERROR(VLOOKUP(C68,'Deflatores Sisp'!G$42:H$70,2,FALSE))),VLOOKUP(C68,'Deflatores Sisp'!G$42:H$70,2,FALSE),IF(OR(ISBLANK(D68),ISBLANK(C68)),"",VLOOKUP(D68,'Deflatores Sisp'!G$4:H$38,2,FALSE)*K68+VLOOKUP(D68,'Deflatores Sisp'!G$4:I$38,3,FALSE)))*W68,"")</f>
        <v>0.15000000000000002</v>
      </c>
      <c r="P68" s="120"/>
      <c r="Q68" s="68"/>
      <c r="R68" s="68"/>
      <c r="S68" s="68"/>
      <c r="T68" s="68" t="s">
        <v>59</v>
      </c>
      <c r="U68" s="68"/>
      <c r="V68" s="121"/>
      <c r="W68" s="121">
        <f t="shared" si="29"/>
        <v>0.05</v>
      </c>
      <c r="X68" s="118"/>
      <c r="Y68" s="4"/>
      <c r="Z68" s="73">
        <f t="shared" ref="Z68:Z73" si="91">IF(P68="x",25%,0)</f>
        <v>0</v>
      </c>
      <c r="AA68" s="73">
        <f t="shared" ref="AA68:AA73" si="92">IF(Q68="x",10%,0)</f>
        <v>0</v>
      </c>
      <c r="AB68" s="73">
        <f t="shared" ref="AB68:AB73" si="93">IF(R68="x",40%,0)</f>
        <v>0</v>
      </c>
      <c r="AC68" s="73">
        <f t="shared" ref="AC68:AC73" si="94">IF(S68="x",15%,0)</f>
        <v>0</v>
      </c>
      <c r="AD68" s="73">
        <f t="shared" ref="AD68:AD73" si="95">IF(T68="x",5%,0)</f>
        <v>0.05</v>
      </c>
      <c r="AE68" s="73">
        <f t="shared" si="12"/>
        <v>0</v>
      </c>
    </row>
    <row r="69" spans="1:31" ht="33" customHeight="1">
      <c r="A69" s="158"/>
      <c r="B69" s="162" t="s">
        <v>385</v>
      </c>
      <c r="C69" s="159" t="s">
        <v>60</v>
      </c>
      <c r="D69" s="154" t="s">
        <v>66</v>
      </c>
      <c r="E69" s="155">
        <v>4</v>
      </c>
      <c r="F69" s="157" t="s">
        <v>386</v>
      </c>
      <c r="G69" s="156">
        <v>2</v>
      </c>
      <c r="H69" s="157" t="s">
        <v>387</v>
      </c>
      <c r="I69" s="79" t="str">
        <f t="shared" si="39"/>
        <v>Baixa</v>
      </c>
      <c r="J69" s="66" t="str">
        <f t="shared" si="1"/>
        <v>EEL</v>
      </c>
      <c r="K69" s="67">
        <f t="shared" si="40"/>
        <v>3</v>
      </c>
      <c r="L69" s="70" t="str">
        <f t="shared" si="3"/>
        <v>L</v>
      </c>
      <c r="M69" s="69" t="str">
        <f t="shared" si="4"/>
        <v>EEI</v>
      </c>
      <c r="N69" s="71">
        <f t="shared" si="77"/>
        <v>3</v>
      </c>
      <c r="O69" s="78">
        <f>IFERROR(IF(NOT(ISERROR(VLOOKUP(C69,'Deflatores Sisp'!G$42:H$70,2,FALSE))),VLOOKUP(C69,'Deflatores Sisp'!G$42:H$70,2,FALSE),IF(OR(ISBLANK(D69),ISBLANK(C69)),"",VLOOKUP(D69,'Deflatores Sisp'!G$4:H$38,2,FALSE)*K69+VLOOKUP(D69,'Deflatores Sisp'!G$4:I$38,3,FALSE)))*W69,"")</f>
        <v>0.15000000000000002</v>
      </c>
      <c r="P69" s="120"/>
      <c r="Q69" s="68"/>
      <c r="R69" s="68"/>
      <c r="S69" s="68"/>
      <c r="T69" s="68" t="s">
        <v>59</v>
      </c>
      <c r="U69" s="68"/>
      <c r="V69" s="121"/>
      <c r="W69" s="121">
        <f t="shared" si="29"/>
        <v>0.05</v>
      </c>
      <c r="X69" s="119"/>
      <c r="Y69" s="4"/>
      <c r="Z69" s="73">
        <f t="shared" si="91"/>
        <v>0</v>
      </c>
      <c r="AA69" s="73">
        <f t="shared" si="92"/>
        <v>0</v>
      </c>
      <c r="AB69" s="73">
        <f t="shared" si="93"/>
        <v>0</v>
      </c>
      <c r="AC69" s="73">
        <f t="shared" si="94"/>
        <v>0</v>
      </c>
      <c r="AD69" s="73">
        <f t="shared" si="95"/>
        <v>0.05</v>
      </c>
      <c r="AE69" s="73">
        <f t="shared" si="12"/>
        <v>0</v>
      </c>
    </row>
    <row r="70" spans="1:31" ht="33" customHeight="1">
      <c r="A70" s="158"/>
      <c r="B70" s="162" t="s">
        <v>388</v>
      </c>
      <c r="C70" s="159" t="s">
        <v>60</v>
      </c>
      <c r="D70" s="154" t="s">
        <v>66</v>
      </c>
      <c r="E70" s="155">
        <v>4</v>
      </c>
      <c r="F70" s="157" t="s">
        <v>389</v>
      </c>
      <c r="G70" s="156">
        <v>3</v>
      </c>
      <c r="H70" s="157" t="s">
        <v>390</v>
      </c>
      <c r="I70" s="79" t="str">
        <f t="shared" ref="I70:I71" si="96">IF(ISBLANK(C70),"",IF(L70="L","Baixa",IF(L70="A","Média",IF(L70="","","Alta"))))</f>
        <v>Média</v>
      </c>
      <c r="J70" s="66" t="str">
        <f t="shared" si="1"/>
        <v>EEA</v>
      </c>
      <c r="K70" s="67">
        <f t="shared" ref="K70:K71" si="97">IF(ISBLANK(C70),"",IF(C70="ALI",IF(L70="L",7,IF(L70="A",10,15)),IF(C70="AIE",IF(L70="L",5,IF(L70="A",7,10)),IF(C70="SE",IF(L70="L",4,IF(L70="A",5,7)),IF(OR(C70="EE",C70="CE"),IF(L70="L",3,IF(L70="A",4,6)),0)))))</f>
        <v>4</v>
      </c>
      <c r="L70" s="70" t="str">
        <f t="shared" si="3"/>
        <v>A</v>
      </c>
      <c r="M70" s="69" t="str">
        <f t="shared" si="4"/>
        <v>EEI</v>
      </c>
      <c r="N70" s="71">
        <f t="shared" si="77"/>
        <v>4</v>
      </c>
      <c r="O70" s="78">
        <f>IFERROR(IF(NOT(ISERROR(VLOOKUP(C70,'Deflatores Sisp'!G$42:H$70,2,FALSE))),VLOOKUP(C70,'Deflatores Sisp'!G$42:H$70,2,FALSE),IF(OR(ISBLANK(D70),ISBLANK(C70)),"",VLOOKUP(D70,'Deflatores Sisp'!G$4:H$38,2,FALSE)*K70+VLOOKUP(D70,'Deflatores Sisp'!G$4:I$38,3,FALSE)))*W70,"")</f>
        <v>0.2</v>
      </c>
      <c r="P70" s="120"/>
      <c r="Q70" s="68"/>
      <c r="R70" s="68"/>
      <c r="S70" s="68"/>
      <c r="T70" s="68" t="s">
        <v>59</v>
      </c>
      <c r="U70" s="68"/>
      <c r="V70" s="121"/>
      <c r="W70" s="121">
        <f t="shared" si="29"/>
        <v>0.05</v>
      </c>
      <c r="X70" s="118"/>
      <c r="Y70" s="4"/>
      <c r="Z70" s="73">
        <f t="shared" si="91"/>
        <v>0</v>
      </c>
      <c r="AA70" s="73">
        <f t="shared" si="92"/>
        <v>0</v>
      </c>
      <c r="AB70" s="73">
        <f t="shared" si="93"/>
        <v>0</v>
      </c>
      <c r="AC70" s="73">
        <f t="shared" si="94"/>
        <v>0</v>
      </c>
      <c r="AD70" s="73">
        <f t="shared" si="95"/>
        <v>0.05</v>
      </c>
      <c r="AE70" s="73">
        <f t="shared" ref="AE70:AE71" si="98">IF(U70="x",5%,0)</f>
        <v>0</v>
      </c>
    </row>
    <row r="71" spans="1:31" ht="33" customHeight="1">
      <c r="A71" s="158"/>
      <c r="B71" s="162" t="s">
        <v>391</v>
      </c>
      <c r="C71" s="159" t="s">
        <v>60</v>
      </c>
      <c r="D71" s="154" t="s">
        <v>66</v>
      </c>
      <c r="E71" s="155">
        <v>4</v>
      </c>
      <c r="F71" s="157" t="s">
        <v>392</v>
      </c>
      <c r="G71" s="156">
        <v>2</v>
      </c>
      <c r="H71" s="157" t="s">
        <v>393</v>
      </c>
      <c r="I71" s="79" t="str">
        <f t="shared" si="96"/>
        <v>Baixa</v>
      </c>
      <c r="J71" s="66" t="str">
        <f t="shared" si="1"/>
        <v>EEL</v>
      </c>
      <c r="K71" s="67">
        <f t="shared" si="97"/>
        <v>3</v>
      </c>
      <c r="L71" s="70" t="str">
        <f t="shared" si="3"/>
        <v>L</v>
      </c>
      <c r="M71" s="69" t="str">
        <f t="shared" si="4"/>
        <v>EEI</v>
      </c>
      <c r="N71" s="71">
        <f t="shared" si="77"/>
        <v>3</v>
      </c>
      <c r="O71" s="78">
        <f>IFERROR(IF(NOT(ISERROR(VLOOKUP(C71,'Deflatores Sisp'!G$42:H$70,2,FALSE))),VLOOKUP(C71,'Deflatores Sisp'!G$42:H$70,2,FALSE),IF(OR(ISBLANK(D71),ISBLANK(C71)),"",VLOOKUP(D71,'Deflatores Sisp'!G$4:H$38,2,FALSE)*K71+VLOOKUP(D71,'Deflatores Sisp'!G$4:I$38,3,FALSE)))*W71,"")</f>
        <v>0.15000000000000002</v>
      </c>
      <c r="P71" s="120"/>
      <c r="Q71" s="68"/>
      <c r="R71" s="68"/>
      <c r="S71" s="68"/>
      <c r="T71" s="68" t="s">
        <v>59</v>
      </c>
      <c r="U71" s="68"/>
      <c r="V71" s="121"/>
      <c r="W71" s="121">
        <f t="shared" si="29"/>
        <v>0.05</v>
      </c>
      <c r="X71" s="118"/>
      <c r="Y71" s="4"/>
      <c r="Z71" s="73">
        <f t="shared" si="91"/>
        <v>0</v>
      </c>
      <c r="AA71" s="73">
        <f t="shared" si="92"/>
        <v>0</v>
      </c>
      <c r="AB71" s="73">
        <f t="shared" si="93"/>
        <v>0</v>
      </c>
      <c r="AC71" s="73">
        <f t="shared" si="94"/>
        <v>0</v>
      </c>
      <c r="AD71" s="73">
        <f t="shared" si="95"/>
        <v>0.05</v>
      </c>
      <c r="AE71" s="73">
        <f t="shared" si="98"/>
        <v>0</v>
      </c>
    </row>
    <row r="72" spans="1:31" ht="33" customHeight="1">
      <c r="A72" s="158"/>
      <c r="B72" s="163" t="s">
        <v>394</v>
      </c>
      <c r="C72" s="159" t="s">
        <v>64</v>
      </c>
      <c r="D72" s="154" t="s">
        <v>66</v>
      </c>
      <c r="E72" s="155">
        <v>4</v>
      </c>
      <c r="F72" s="157" t="s">
        <v>395</v>
      </c>
      <c r="G72" s="156">
        <v>1</v>
      </c>
      <c r="H72" s="157" t="s">
        <v>396</v>
      </c>
      <c r="I72" s="79" t="str">
        <f t="shared" si="39"/>
        <v>Baixa</v>
      </c>
      <c r="J72" s="66" t="str">
        <f t="shared" si="1"/>
        <v>CEL</v>
      </c>
      <c r="K72" s="67">
        <f t="shared" si="40"/>
        <v>3</v>
      </c>
      <c r="L72" s="70" t="str">
        <f t="shared" si="3"/>
        <v>L</v>
      </c>
      <c r="M72" s="69" t="str">
        <f t="shared" si="4"/>
        <v>CEI</v>
      </c>
      <c r="N72" s="71">
        <f t="shared" si="77"/>
        <v>3</v>
      </c>
      <c r="O72" s="78">
        <f>IFERROR(IF(NOT(ISERROR(VLOOKUP(C72,'Deflatores Sisp'!G$42:H$70,2,FALSE))),VLOOKUP(C72,'Deflatores Sisp'!G$42:H$70,2,FALSE),IF(OR(ISBLANK(D72),ISBLANK(C72)),"",VLOOKUP(D72,'Deflatores Sisp'!G$4:H$38,2,FALSE)*K72+VLOOKUP(D72,'Deflatores Sisp'!G$4:I$38,3,FALSE)))*W72,"")</f>
        <v>0.15000000000000002</v>
      </c>
      <c r="P72" s="120"/>
      <c r="Q72" s="68"/>
      <c r="R72" s="68"/>
      <c r="S72" s="68"/>
      <c r="T72" s="68" t="s">
        <v>59</v>
      </c>
      <c r="U72" s="68"/>
      <c r="V72" s="121"/>
      <c r="W72" s="121">
        <f t="shared" si="29"/>
        <v>0.05</v>
      </c>
      <c r="X72" s="119"/>
      <c r="Y72" s="4"/>
      <c r="Z72" s="73">
        <f t="shared" si="91"/>
        <v>0</v>
      </c>
      <c r="AA72" s="73">
        <f t="shared" si="92"/>
        <v>0</v>
      </c>
      <c r="AB72" s="73">
        <f t="shared" si="93"/>
        <v>0</v>
      </c>
      <c r="AC72" s="73">
        <f t="shared" si="94"/>
        <v>0</v>
      </c>
      <c r="AD72" s="73">
        <f t="shared" si="95"/>
        <v>0.05</v>
      </c>
      <c r="AE72" s="73">
        <f t="shared" si="12"/>
        <v>0</v>
      </c>
    </row>
    <row r="73" spans="1:31" ht="33" customHeight="1">
      <c r="A73" s="158"/>
      <c r="B73" s="163" t="s">
        <v>397</v>
      </c>
      <c r="C73" s="159" t="s">
        <v>65</v>
      </c>
      <c r="D73" s="154" t="s">
        <v>66</v>
      </c>
      <c r="E73" s="155">
        <v>15</v>
      </c>
      <c r="F73" s="157" t="s">
        <v>398</v>
      </c>
      <c r="G73" s="156">
        <v>4</v>
      </c>
      <c r="H73" s="157" t="s">
        <v>401</v>
      </c>
      <c r="I73" s="79" t="str">
        <f>IF(ISBLANK(C73),"",IF(L73="L","Baixa",IF(L73="A","Média",IF(L73="","","Alta"))))</f>
        <v>Baixa</v>
      </c>
      <c r="J73" s="66" t="str">
        <f t="shared" ref="J73:J126" si="99">CONCATENATE(C73,L73)</f>
        <v>ALIL</v>
      </c>
      <c r="K73" s="67">
        <f>IF(ISBLANK(C73),"",IF(C73="ALI",IF(L73="L",7,IF(L73="A",10,15)),IF(C73="AIE",IF(L73="L",5,IF(L73="A",7,10)),IF(C73="SE",IF(L73="L",4,IF(L73="A",5,7)),IF(OR(C73="EE",C73="CE"),IF(L73="L",3,IF(L73="A",4,6)),0)))))</f>
        <v>7</v>
      </c>
      <c r="L73" s="70" t="str">
        <f t="shared" ref="L73:L126" si="100">IF(OR(ISBLANK(E73),ISBLANK(G73)),IF(OR(C73="ALI",C73="AIE"),"L",IF(OR(C73="EE",C73="SE",C73="CE"),"A","")),IF(C73="EE",IF(G73&gt;=3,IF(E73&gt;=5,"H","A"),IF(G73&gt;=2,IF(E73&gt;=16,"H",IF(E73&lt;=4,"L","A")),IF(E73&lt;=15,"L","A"))),IF(OR(C73="SE",C73="CE"),IF(G73&gt;=4,IF(E73&gt;=6,"H","A"),IF(G73&gt;=2,IF(E73&gt;=20,"H",IF(E73&lt;=5,"L","A")),IF(E73&lt;=19,"L","A"))),IF(OR(C73="ALI",C73="AIE"),IF(G73&gt;=6,IF(E73&gt;=20,"H","A"),IF(G73&gt;=2,IF(E73&gt;=51,"H",IF(E73&lt;=19,"L","A")),IF(E73&lt;=50,"L","A"))),""))))</f>
        <v>L</v>
      </c>
      <c r="M73" s="69" t="str">
        <f>CONCATENATE(C73,D73)</f>
        <v>ALII</v>
      </c>
      <c r="N73" s="71">
        <f t="shared" si="77"/>
        <v>7</v>
      </c>
      <c r="O73" s="78">
        <f>IFERROR(IF(NOT(ISERROR(VLOOKUP(C73,'Deflatores Sisp'!G$42:H$70,2,FALSE))),VLOOKUP(C73,'Deflatores Sisp'!G$42:H$70,2,FALSE),IF(OR(ISBLANK(D73),ISBLANK(C73)),"",VLOOKUP(D73,'Deflatores Sisp'!G$4:H$38,2,FALSE)*K73+VLOOKUP(D73,'Deflatores Sisp'!G$4:I$38,3,FALSE)))*W73,"")</f>
        <v>0.35000000000000003</v>
      </c>
      <c r="P73" s="120"/>
      <c r="Q73" s="68"/>
      <c r="R73" s="68"/>
      <c r="S73" s="68"/>
      <c r="T73" s="68" t="s">
        <v>59</v>
      </c>
      <c r="U73" s="68"/>
      <c r="V73" s="121"/>
      <c r="W73" s="121">
        <f t="shared" si="29"/>
        <v>0.05</v>
      </c>
      <c r="X73" s="118"/>
      <c r="Y73" s="4"/>
      <c r="Z73" s="73">
        <f t="shared" si="91"/>
        <v>0</v>
      </c>
      <c r="AA73" s="73">
        <f t="shared" si="92"/>
        <v>0</v>
      </c>
      <c r="AB73" s="73">
        <f t="shared" si="93"/>
        <v>0</v>
      </c>
      <c r="AC73" s="73">
        <f t="shared" si="94"/>
        <v>0</v>
      </c>
      <c r="AD73" s="73">
        <f t="shared" si="95"/>
        <v>0.05</v>
      </c>
      <c r="AE73" s="73">
        <f t="shared" si="12"/>
        <v>0</v>
      </c>
    </row>
    <row r="74" spans="1:31" ht="33" customHeight="1">
      <c r="A74" s="158"/>
      <c r="B74" s="163" t="s">
        <v>399</v>
      </c>
      <c r="C74" s="159" t="s">
        <v>60</v>
      </c>
      <c r="D74" s="154" t="s">
        <v>66</v>
      </c>
      <c r="E74" s="155">
        <v>6</v>
      </c>
      <c r="F74" s="157" t="s">
        <v>400</v>
      </c>
      <c r="G74" s="156">
        <v>3</v>
      </c>
      <c r="H74" s="157" t="s">
        <v>402</v>
      </c>
      <c r="I74" s="79" t="str">
        <f>IF(ISBLANK(C74),"",IF(L74="L","Baixa",IF(L74="A","Média",IF(L74="","","Alta"))))</f>
        <v>Alta</v>
      </c>
      <c r="J74" s="66" t="str">
        <f t="shared" si="99"/>
        <v>EEH</v>
      </c>
      <c r="K74" s="67">
        <f t="shared" si="40"/>
        <v>6</v>
      </c>
      <c r="L74" s="70" t="str">
        <f t="shared" si="100"/>
        <v>H</v>
      </c>
      <c r="M74" s="69" t="str">
        <f>CONCATENATE(C74,D74)</f>
        <v>EEI</v>
      </c>
      <c r="N74" s="71">
        <f t="shared" si="77"/>
        <v>6</v>
      </c>
      <c r="O74" s="78">
        <f>IFERROR(IF(NOT(ISERROR(VLOOKUP(C74,'Deflatores Sisp'!G$42:H$70,2,FALSE))),VLOOKUP(C74,'Deflatores Sisp'!G$42:H$70,2,FALSE),IF(OR(ISBLANK(D74),ISBLANK(C74)),"",VLOOKUP(D74,'Deflatores Sisp'!G$4:H$38,2,FALSE)*K74+VLOOKUP(D74,'Deflatores Sisp'!G$4:I$38,3,FALSE)))*W74,"")</f>
        <v>0.30000000000000004</v>
      </c>
      <c r="P74" s="120"/>
      <c r="Q74" s="68"/>
      <c r="R74" s="68"/>
      <c r="S74" s="68"/>
      <c r="T74" s="68" t="s">
        <v>59</v>
      </c>
      <c r="U74" s="68"/>
      <c r="V74" s="121"/>
      <c r="W74" s="121">
        <f t="shared" si="29"/>
        <v>0.05</v>
      </c>
      <c r="X74" s="118"/>
      <c r="Y74" s="4"/>
      <c r="Z74" s="73">
        <f t="shared" ref="Z74:Z79" si="101">IF(P74="x",25%,0)</f>
        <v>0</v>
      </c>
      <c r="AA74" s="73">
        <f t="shared" ref="AA74:AA79" si="102">IF(Q74="x",10%,0)</f>
        <v>0</v>
      </c>
      <c r="AB74" s="73">
        <f t="shared" ref="AB74:AB79" si="103">IF(R74="x",40%,0)</f>
        <v>0</v>
      </c>
      <c r="AC74" s="73">
        <f t="shared" ref="AC74:AC79" si="104">IF(S74="x",15%,0)</f>
        <v>0</v>
      </c>
      <c r="AD74" s="73">
        <f t="shared" ref="AD74:AD79" si="105">IF(T74="x",5%,0)</f>
        <v>0.05</v>
      </c>
      <c r="AE74" s="73">
        <f t="shared" si="12"/>
        <v>0</v>
      </c>
    </row>
    <row r="75" spans="1:31" ht="33" customHeight="1">
      <c r="A75" s="158"/>
      <c r="B75" s="163" t="s">
        <v>403</v>
      </c>
      <c r="C75" s="159" t="s">
        <v>64</v>
      </c>
      <c r="D75" s="154" t="s">
        <v>66</v>
      </c>
      <c r="E75" s="155">
        <v>10</v>
      </c>
      <c r="F75" s="157" t="s">
        <v>404</v>
      </c>
      <c r="G75" s="156">
        <v>5</v>
      </c>
      <c r="H75" s="157" t="s">
        <v>405</v>
      </c>
      <c r="I75" s="79" t="str">
        <f t="shared" si="39"/>
        <v>Alta</v>
      </c>
      <c r="J75" s="66" t="str">
        <f t="shared" si="99"/>
        <v>CEH</v>
      </c>
      <c r="K75" s="67">
        <f t="shared" si="40"/>
        <v>6</v>
      </c>
      <c r="L75" s="70" t="str">
        <f t="shared" si="100"/>
        <v>H</v>
      </c>
      <c r="M75" s="69" t="str">
        <f t="shared" ref="M75:M126" si="106">CONCATENATE(C75,D75)</f>
        <v>CEI</v>
      </c>
      <c r="N75" s="71">
        <f t="shared" si="77"/>
        <v>6</v>
      </c>
      <c r="O75" s="78">
        <f>IFERROR(IF(NOT(ISERROR(VLOOKUP(C75,'Deflatores Sisp'!G$42:H$70,2,FALSE))),VLOOKUP(C75,'Deflatores Sisp'!G$42:H$70,2,FALSE),IF(OR(ISBLANK(D75),ISBLANK(C75)),"",VLOOKUP(D75,'Deflatores Sisp'!G$4:H$38,2,FALSE)*K75+VLOOKUP(D75,'Deflatores Sisp'!G$4:I$38,3,FALSE)))*W75,"")</f>
        <v>0.30000000000000004</v>
      </c>
      <c r="P75" s="120"/>
      <c r="Q75" s="68"/>
      <c r="R75" s="68"/>
      <c r="S75" s="68"/>
      <c r="T75" s="68" t="s">
        <v>59</v>
      </c>
      <c r="U75" s="68"/>
      <c r="V75" s="121"/>
      <c r="W75" s="121">
        <f t="shared" si="29"/>
        <v>0.05</v>
      </c>
      <c r="X75" s="119"/>
      <c r="Y75" s="4"/>
      <c r="Z75" s="73">
        <f t="shared" si="101"/>
        <v>0</v>
      </c>
      <c r="AA75" s="73">
        <f t="shared" si="102"/>
        <v>0</v>
      </c>
      <c r="AB75" s="73">
        <f t="shared" si="103"/>
        <v>0</v>
      </c>
      <c r="AC75" s="73">
        <f t="shared" si="104"/>
        <v>0</v>
      </c>
      <c r="AD75" s="73">
        <f t="shared" si="105"/>
        <v>0.05</v>
      </c>
      <c r="AE75" s="73">
        <f t="shared" si="12"/>
        <v>0</v>
      </c>
    </row>
    <row r="76" spans="1:31" ht="33" customHeight="1">
      <c r="A76" s="158"/>
      <c r="B76" s="163" t="s">
        <v>412</v>
      </c>
      <c r="C76" s="159" t="s">
        <v>64</v>
      </c>
      <c r="D76" s="154" t="s">
        <v>66</v>
      </c>
      <c r="E76" s="155">
        <v>8</v>
      </c>
      <c r="F76" s="157" t="s">
        <v>406</v>
      </c>
      <c r="G76" s="156">
        <v>4</v>
      </c>
      <c r="H76" s="157" t="s">
        <v>407</v>
      </c>
      <c r="I76" s="79" t="str">
        <f t="shared" ref="I76:I77" si="107">IF(ISBLANK(C76),"",IF(L76="L","Baixa",IF(L76="A","Média",IF(L76="","","Alta"))))</f>
        <v>Alta</v>
      </c>
      <c r="J76" s="66" t="str">
        <f t="shared" si="99"/>
        <v>CEH</v>
      </c>
      <c r="K76" s="67">
        <f t="shared" ref="K76:K77" si="108">IF(ISBLANK(C76),"",IF(C76="ALI",IF(L76="L",7,IF(L76="A",10,15)),IF(C76="AIE",IF(L76="L",5,IF(L76="A",7,10)),IF(C76="SE",IF(L76="L",4,IF(L76="A",5,7)),IF(OR(C76="EE",C76="CE"),IF(L76="L",3,IF(L76="A",4,6)),0)))))</f>
        <v>6</v>
      </c>
      <c r="L76" s="70" t="str">
        <f t="shared" si="100"/>
        <v>H</v>
      </c>
      <c r="M76" s="69" t="str">
        <f t="shared" si="106"/>
        <v>CEI</v>
      </c>
      <c r="N76" s="71">
        <f t="shared" si="77"/>
        <v>6</v>
      </c>
      <c r="O76" s="78">
        <f>IFERROR(IF(NOT(ISERROR(VLOOKUP(C76,'Deflatores Sisp'!G$42:H$70,2,FALSE))),VLOOKUP(C76,'Deflatores Sisp'!G$42:H$70,2,FALSE),IF(OR(ISBLANK(D76),ISBLANK(C76)),"",VLOOKUP(D76,'Deflatores Sisp'!G$4:H$38,2,FALSE)*K76+VLOOKUP(D76,'Deflatores Sisp'!G$4:I$38,3,FALSE)))*W76,"")</f>
        <v>0.30000000000000004</v>
      </c>
      <c r="P76" s="120"/>
      <c r="Q76" s="68"/>
      <c r="R76" s="68"/>
      <c r="S76" s="68"/>
      <c r="T76" s="68" t="s">
        <v>59</v>
      </c>
      <c r="U76" s="68"/>
      <c r="V76" s="121"/>
      <c r="W76" s="121">
        <f t="shared" si="29"/>
        <v>0.05</v>
      </c>
      <c r="X76" s="118"/>
      <c r="Y76" s="4"/>
      <c r="Z76" s="73">
        <f t="shared" si="101"/>
        <v>0</v>
      </c>
      <c r="AA76" s="73">
        <f t="shared" si="102"/>
        <v>0</v>
      </c>
      <c r="AB76" s="73">
        <f t="shared" si="103"/>
        <v>0</v>
      </c>
      <c r="AC76" s="73">
        <f t="shared" si="104"/>
        <v>0</v>
      </c>
      <c r="AD76" s="73">
        <f t="shared" si="105"/>
        <v>0.05</v>
      </c>
      <c r="AE76" s="73">
        <f t="shared" ref="AE76:AE77" si="109">IF(U76="x",5%,0)</f>
        <v>0</v>
      </c>
    </row>
    <row r="77" spans="1:31" ht="33" customHeight="1">
      <c r="A77" s="158"/>
      <c r="B77" s="163" t="s">
        <v>408</v>
      </c>
      <c r="C77" s="159" t="s">
        <v>60</v>
      </c>
      <c r="D77" s="154" t="s">
        <v>66</v>
      </c>
      <c r="E77" s="155">
        <v>5</v>
      </c>
      <c r="F77" s="157" t="s">
        <v>409</v>
      </c>
      <c r="G77" s="156">
        <v>3</v>
      </c>
      <c r="H77" s="157" t="s">
        <v>410</v>
      </c>
      <c r="I77" s="79" t="str">
        <f t="shared" si="107"/>
        <v>Alta</v>
      </c>
      <c r="J77" s="66" t="str">
        <f t="shared" si="99"/>
        <v>EEH</v>
      </c>
      <c r="K77" s="67">
        <f t="shared" si="108"/>
        <v>6</v>
      </c>
      <c r="L77" s="70" t="str">
        <f t="shared" si="100"/>
        <v>H</v>
      </c>
      <c r="M77" s="69" t="str">
        <f t="shared" si="106"/>
        <v>EEI</v>
      </c>
      <c r="N77" s="71">
        <f t="shared" si="77"/>
        <v>6</v>
      </c>
      <c r="O77" s="78">
        <f>IFERROR(IF(NOT(ISERROR(VLOOKUP(C77,'Deflatores Sisp'!G$42:H$70,2,FALSE))),VLOOKUP(C77,'Deflatores Sisp'!G$42:H$70,2,FALSE),IF(OR(ISBLANK(D77),ISBLANK(C77)),"",VLOOKUP(D77,'Deflatores Sisp'!G$4:H$38,2,FALSE)*K77+VLOOKUP(D77,'Deflatores Sisp'!G$4:I$38,3,FALSE)))*W77,"")</f>
        <v>0.30000000000000004</v>
      </c>
      <c r="P77" s="120"/>
      <c r="Q77" s="68"/>
      <c r="R77" s="68"/>
      <c r="S77" s="68"/>
      <c r="T77" s="68" t="s">
        <v>59</v>
      </c>
      <c r="U77" s="68"/>
      <c r="V77" s="121"/>
      <c r="W77" s="121">
        <f t="shared" si="29"/>
        <v>0.05</v>
      </c>
      <c r="X77" s="118"/>
      <c r="Y77" s="4"/>
      <c r="Z77" s="73">
        <f t="shared" si="101"/>
        <v>0</v>
      </c>
      <c r="AA77" s="73">
        <f t="shared" si="102"/>
        <v>0</v>
      </c>
      <c r="AB77" s="73">
        <f t="shared" si="103"/>
        <v>0</v>
      </c>
      <c r="AC77" s="73">
        <f t="shared" si="104"/>
        <v>0</v>
      </c>
      <c r="AD77" s="73">
        <f t="shared" si="105"/>
        <v>0.05</v>
      </c>
      <c r="AE77" s="73">
        <f t="shared" si="109"/>
        <v>0</v>
      </c>
    </row>
    <row r="78" spans="1:31" ht="33" customHeight="1">
      <c r="A78" s="158"/>
      <c r="B78" s="162" t="s">
        <v>415</v>
      </c>
      <c r="C78" s="159" t="s">
        <v>64</v>
      </c>
      <c r="D78" s="154" t="s">
        <v>66</v>
      </c>
      <c r="E78" s="155">
        <v>5</v>
      </c>
      <c r="F78" s="157" t="s">
        <v>413</v>
      </c>
      <c r="G78" s="156">
        <v>2</v>
      </c>
      <c r="H78" s="157" t="s">
        <v>414</v>
      </c>
      <c r="I78" s="79" t="str">
        <f t="shared" si="39"/>
        <v>Baixa</v>
      </c>
      <c r="J78" s="66" t="str">
        <f t="shared" si="99"/>
        <v>CEL</v>
      </c>
      <c r="K78" s="67">
        <f t="shared" si="40"/>
        <v>3</v>
      </c>
      <c r="L78" s="70" t="str">
        <f t="shared" si="100"/>
        <v>L</v>
      </c>
      <c r="M78" s="69" t="str">
        <f t="shared" si="106"/>
        <v>CEI</v>
      </c>
      <c r="N78" s="71">
        <f t="shared" si="77"/>
        <v>3</v>
      </c>
      <c r="O78" s="78">
        <f>IFERROR(IF(NOT(ISERROR(VLOOKUP(C78,'Deflatores Sisp'!G$42:H$70,2,FALSE))),VLOOKUP(C78,'Deflatores Sisp'!G$42:H$70,2,FALSE),IF(OR(ISBLANK(D78),ISBLANK(C78)),"",VLOOKUP(D78,'Deflatores Sisp'!G$4:H$38,2,FALSE)*K78+VLOOKUP(D78,'Deflatores Sisp'!G$4:I$38,3,FALSE)))*W78,"")</f>
        <v>0.15000000000000002</v>
      </c>
      <c r="P78" s="120"/>
      <c r="Q78" s="68"/>
      <c r="R78" s="68"/>
      <c r="S78" s="68"/>
      <c r="T78" s="68" t="s">
        <v>59</v>
      </c>
      <c r="U78" s="68"/>
      <c r="V78" s="121"/>
      <c r="W78" s="121">
        <f t="shared" si="29"/>
        <v>0.05</v>
      </c>
      <c r="X78" s="119"/>
      <c r="Y78" s="4"/>
      <c r="Z78" s="73">
        <f t="shared" si="101"/>
        <v>0</v>
      </c>
      <c r="AA78" s="73">
        <f t="shared" si="102"/>
        <v>0</v>
      </c>
      <c r="AB78" s="73">
        <f t="shared" si="103"/>
        <v>0</v>
      </c>
      <c r="AC78" s="73">
        <f t="shared" si="104"/>
        <v>0</v>
      </c>
      <c r="AD78" s="73">
        <f t="shared" si="105"/>
        <v>0.05</v>
      </c>
      <c r="AE78" s="73">
        <f t="shared" si="12"/>
        <v>0</v>
      </c>
    </row>
    <row r="79" spans="1:31" ht="33" customHeight="1">
      <c r="A79" s="158"/>
      <c r="B79" s="162" t="s">
        <v>418</v>
      </c>
      <c r="C79" s="159" t="s">
        <v>60</v>
      </c>
      <c r="D79" s="154" t="s">
        <v>66</v>
      </c>
      <c r="E79" s="155">
        <v>3</v>
      </c>
      <c r="F79" s="157" t="s">
        <v>416</v>
      </c>
      <c r="G79" s="156">
        <v>1</v>
      </c>
      <c r="H79" s="157" t="s">
        <v>417</v>
      </c>
      <c r="I79" s="79" t="str">
        <f t="shared" si="39"/>
        <v>Baixa</v>
      </c>
      <c r="J79" s="66" t="str">
        <f t="shared" si="99"/>
        <v>EEL</v>
      </c>
      <c r="K79" s="67">
        <f t="shared" si="40"/>
        <v>3</v>
      </c>
      <c r="L79" s="70" t="str">
        <f t="shared" si="100"/>
        <v>L</v>
      </c>
      <c r="M79" s="69" t="str">
        <f t="shared" si="106"/>
        <v>EEI</v>
      </c>
      <c r="N79" s="71">
        <f t="shared" si="77"/>
        <v>3</v>
      </c>
      <c r="O79" s="78">
        <f>IFERROR(IF(NOT(ISERROR(VLOOKUP(C79,'Deflatores Sisp'!G$42:H$70,2,FALSE))),VLOOKUP(C79,'Deflatores Sisp'!G$42:H$70,2,FALSE),IF(OR(ISBLANK(D79),ISBLANK(C79)),"",VLOOKUP(D79,'Deflatores Sisp'!G$4:H$38,2,FALSE)*K79+VLOOKUP(D79,'Deflatores Sisp'!G$4:I$38,3,FALSE)))*W79,"")</f>
        <v>0.15000000000000002</v>
      </c>
      <c r="P79" s="120"/>
      <c r="Q79" s="68"/>
      <c r="R79" s="68"/>
      <c r="S79" s="68"/>
      <c r="T79" s="68" t="s">
        <v>59</v>
      </c>
      <c r="U79" s="68"/>
      <c r="V79" s="121"/>
      <c r="W79" s="121">
        <f t="shared" si="29"/>
        <v>0.05</v>
      </c>
      <c r="X79" s="118"/>
      <c r="Y79" s="4"/>
      <c r="Z79" s="73">
        <f t="shared" si="101"/>
        <v>0</v>
      </c>
      <c r="AA79" s="73">
        <f t="shared" si="102"/>
        <v>0</v>
      </c>
      <c r="AB79" s="73">
        <f t="shared" si="103"/>
        <v>0</v>
      </c>
      <c r="AC79" s="73">
        <f t="shared" si="104"/>
        <v>0</v>
      </c>
      <c r="AD79" s="73">
        <f t="shared" si="105"/>
        <v>0.05</v>
      </c>
      <c r="AE79" s="73">
        <f t="shared" si="12"/>
        <v>0</v>
      </c>
    </row>
    <row r="80" spans="1:31" ht="33" customHeight="1">
      <c r="A80" s="158"/>
      <c r="B80" s="162" t="s">
        <v>419</v>
      </c>
      <c r="C80" s="159" t="s">
        <v>65</v>
      </c>
      <c r="D80" s="154" t="s">
        <v>66</v>
      </c>
      <c r="E80" s="155">
        <v>4</v>
      </c>
      <c r="F80" s="157" t="s">
        <v>420</v>
      </c>
      <c r="G80" s="156">
        <v>2</v>
      </c>
      <c r="H80" s="157" t="s">
        <v>421</v>
      </c>
      <c r="I80" s="79" t="str">
        <f t="shared" si="39"/>
        <v>Baixa</v>
      </c>
      <c r="J80" s="66" t="str">
        <f t="shared" si="99"/>
        <v>ALIL</v>
      </c>
      <c r="K80" s="67">
        <f t="shared" si="40"/>
        <v>7</v>
      </c>
      <c r="L80" s="70" t="str">
        <f t="shared" si="100"/>
        <v>L</v>
      </c>
      <c r="M80" s="69" t="str">
        <f t="shared" si="106"/>
        <v>ALII</v>
      </c>
      <c r="N80" s="71">
        <f t="shared" si="77"/>
        <v>7</v>
      </c>
      <c r="O80" s="78">
        <f>IFERROR(IF(NOT(ISERROR(VLOOKUP(C80,'Deflatores Sisp'!G$42:H$70,2,FALSE))),VLOOKUP(C80,'Deflatores Sisp'!G$42:H$70,2,FALSE),IF(OR(ISBLANK(D80),ISBLANK(C80)),"",VLOOKUP(D80,'Deflatores Sisp'!G$4:H$38,2,FALSE)*K80+VLOOKUP(D80,'Deflatores Sisp'!G$4:I$38,3,FALSE)))*W80,"")</f>
        <v>0.35000000000000003</v>
      </c>
      <c r="P80" s="120"/>
      <c r="Q80" s="68"/>
      <c r="R80" s="68"/>
      <c r="S80" s="68"/>
      <c r="T80" s="68" t="s">
        <v>59</v>
      </c>
      <c r="U80" s="68"/>
      <c r="V80" s="121"/>
      <c r="W80" s="121">
        <f t="shared" si="29"/>
        <v>0.05</v>
      </c>
      <c r="X80" s="118"/>
      <c r="Y80" s="4"/>
      <c r="Z80" s="73">
        <f t="shared" ref="Z80:Z88" si="110">IF(P80="x",25%,0)</f>
        <v>0</v>
      </c>
      <c r="AA80" s="73">
        <f t="shared" ref="AA80:AA105" si="111">IF(Q80="x",10%,0)</f>
        <v>0</v>
      </c>
      <c r="AB80" s="73">
        <f t="shared" ref="AB80:AB105" si="112">IF(R80="x",40%,0)</f>
        <v>0</v>
      </c>
      <c r="AC80" s="73">
        <f t="shared" ref="AC80:AC105" si="113">IF(S80="x",15%,0)</f>
        <v>0</v>
      </c>
      <c r="AD80" s="73">
        <f t="shared" ref="AD80:AD105" si="114">IF(T80="x",5%,0)</f>
        <v>0.05</v>
      </c>
      <c r="AE80" s="73">
        <f t="shared" si="12"/>
        <v>0</v>
      </c>
    </row>
    <row r="81" spans="1:31" ht="33" customHeight="1">
      <c r="A81" s="158"/>
      <c r="B81" s="162" t="s">
        <v>422</v>
      </c>
      <c r="C81" s="159" t="s">
        <v>60</v>
      </c>
      <c r="D81" s="154" t="s">
        <v>66</v>
      </c>
      <c r="E81" s="155">
        <v>4</v>
      </c>
      <c r="F81" s="157" t="s">
        <v>423</v>
      </c>
      <c r="G81" s="156">
        <v>3</v>
      </c>
      <c r="H81" s="157" t="s">
        <v>424</v>
      </c>
      <c r="I81" s="79" t="str">
        <f t="shared" si="39"/>
        <v>Média</v>
      </c>
      <c r="J81" s="66" t="str">
        <f t="shared" si="99"/>
        <v>EEA</v>
      </c>
      <c r="K81" s="67">
        <f t="shared" si="40"/>
        <v>4</v>
      </c>
      <c r="L81" s="70" t="str">
        <f t="shared" si="100"/>
        <v>A</v>
      </c>
      <c r="M81" s="69" t="str">
        <f t="shared" si="106"/>
        <v>EEI</v>
      </c>
      <c r="N81" s="71">
        <f t="shared" si="77"/>
        <v>4</v>
      </c>
      <c r="O81" s="78">
        <f>IFERROR(IF(NOT(ISERROR(VLOOKUP(C81,'Deflatores Sisp'!G$42:H$70,2,FALSE))),VLOOKUP(C81,'Deflatores Sisp'!G$42:H$70,2,FALSE),IF(OR(ISBLANK(D81),ISBLANK(C81)),"",VLOOKUP(D81,'Deflatores Sisp'!G$4:H$38,2,FALSE)*K81+VLOOKUP(D81,'Deflatores Sisp'!G$4:I$38,3,FALSE)))*W81,"")</f>
        <v>0.2</v>
      </c>
      <c r="P81" s="120"/>
      <c r="Q81" s="68"/>
      <c r="R81" s="68"/>
      <c r="S81" s="68"/>
      <c r="T81" s="68" t="s">
        <v>59</v>
      </c>
      <c r="U81" s="68"/>
      <c r="V81" s="121"/>
      <c r="W81" s="121">
        <f t="shared" si="29"/>
        <v>0.05</v>
      </c>
      <c r="X81" s="119"/>
      <c r="Y81" s="4"/>
      <c r="Z81" s="73">
        <f t="shared" si="110"/>
        <v>0</v>
      </c>
      <c r="AA81" s="73">
        <f t="shared" si="111"/>
        <v>0</v>
      </c>
      <c r="AB81" s="73">
        <f t="shared" si="112"/>
        <v>0</v>
      </c>
      <c r="AC81" s="73">
        <f t="shared" si="113"/>
        <v>0</v>
      </c>
      <c r="AD81" s="73">
        <f t="shared" si="114"/>
        <v>0.05</v>
      </c>
      <c r="AE81" s="73">
        <f t="shared" si="12"/>
        <v>0</v>
      </c>
    </row>
    <row r="82" spans="1:31" ht="33" customHeight="1">
      <c r="A82" s="158"/>
      <c r="B82" s="162" t="s">
        <v>427</v>
      </c>
      <c r="C82" s="159" t="s">
        <v>65</v>
      </c>
      <c r="D82" s="154" t="s">
        <v>66</v>
      </c>
      <c r="E82" s="155">
        <v>18</v>
      </c>
      <c r="F82" s="157" t="s">
        <v>426</v>
      </c>
      <c r="G82" s="156">
        <v>2</v>
      </c>
      <c r="H82" s="157" t="s">
        <v>425</v>
      </c>
      <c r="I82" s="79" t="str">
        <f t="shared" ref="I82:I83" si="115">IF(ISBLANK(C82),"",IF(L82="L","Baixa",IF(L82="A","Média",IF(L82="","","Alta"))))</f>
        <v>Baixa</v>
      </c>
      <c r="J82" s="66" t="str">
        <f t="shared" si="99"/>
        <v>ALIL</v>
      </c>
      <c r="K82" s="67">
        <f t="shared" ref="K82:K83" si="116">IF(ISBLANK(C82),"",IF(C82="ALI",IF(L82="L",7,IF(L82="A",10,15)),IF(C82="AIE",IF(L82="L",5,IF(L82="A",7,10)),IF(C82="SE",IF(L82="L",4,IF(L82="A",5,7)),IF(OR(C82="EE",C82="CE"),IF(L82="L",3,IF(L82="A",4,6)),0)))))</f>
        <v>7</v>
      </c>
      <c r="L82" s="70" t="str">
        <f t="shared" si="100"/>
        <v>L</v>
      </c>
      <c r="M82" s="69" t="str">
        <f t="shared" si="106"/>
        <v>ALII</v>
      </c>
      <c r="N82" s="71">
        <f t="shared" si="77"/>
        <v>7</v>
      </c>
      <c r="O82" s="78">
        <f>IFERROR(IF(NOT(ISERROR(VLOOKUP(C82,'Deflatores Sisp'!G$42:H$70,2,FALSE))),VLOOKUP(C82,'Deflatores Sisp'!G$42:H$70,2,FALSE),IF(OR(ISBLANK(D82),ISBLANK(C82)),"",VLOOKUP(D82,'Deflatores Sisp'!G$4:H$38,2,FALSE)*K82+VLOOKUP(D82,'Deflatores Sisp'!G$4:I$38,3,FALSE)))*W82,"")</f>
        <v>0.35000000000000003</v>
      </c>
      <c r="P82" s="120"/>
      <c r="Q82" s="68"/>
      <c r="R82" s="68"/>
      <c r="S82" s="68"/>
      <c r="T82" s="68" t="s">
        <v>59</v>
      </c>
      <c r="U82" s="68"/>
      <c r="V82" s="121"/>
      <c r="W82" s="121">
        <f t="shared" si="29"/>
        <v>0.05</v>
      </c>
      <c r="X82" s="118"/>
      <c r="Y82" s="4"/>
      <c r="Z82" s="73">
        <f t="shared" si="110"/>
        <v>0</v>
      </c>
      <c r="AA82" s="73">
        <f t="shared" si="111"/>
        <v>0</v>
      </c>
      <c r="AB82" s="73">
        <f t="shared" si="112"/>
        <v>0</v>
      </c>
      <c r="AC82" s="73">
        <f t="shared" si="113"/>
        <v>0</v>
      </c>
      <c r="AD82" s="73">
        <f t="shared" si="114"/>
        <v>0.05</v>
      </c>
      <c r="AE82" s="73">
        <f t="shared" ref="AE82:AE83" si="117">IF(U82="x",5%,0)</f>
        <v>0</v>
      </c>
    </row>
    <row r="83" spans="1:31" ht="33" customHeight="1">
      <c r="A83" s="158"/>
      <c r="B83" s="162" t="s">
        <v>429</v>
      </c>
      <c r="C83" s="159" t="s">
        <v>60</v>
      </c>
      <c r="D83" s="154" t="s">
        <v>66</v>
      </c>
      <c r="E83" s="155">
        <v>3</v>
      </c>
      <c r="F83" s="157" t="s">
        <v>433</v>
      </c>
      <c r="G83" s="156">
        <v>1</v>
      </c>
      <c r="H83" s="157" t="s">
        <v>434</v>
      </c>
      <c r="I83" s="79" t="str">
        <f t="shared" si="115"/>
        <v>Baixa</v>
      </c>
      <c r="J83" s="66" t="str">
        <f t="shared" si="99"/>
        <v>EEL</v>
      </c>
      <c r="K83" s="67">
        <f t="shared" si="116"/>
        <v>3</v>
      </c>
      <c r="L83" s="70" t="str">
        <f t="shared" si="100"/>
        <v>L</v>
      </c>
      <c r="M83" s="69" t="str">
        <f t="shared" si="106"/>
        <v>EEI</v>
      </c>
      <c r="N83" s="71">
        <f t="shared" si="77"/>
        <v>3</v>
      </c>
      <c r="O83" s="78">
        <f>IFERROR(IF(NOT(ISERROR(VLOOKUP(C83,'Deflatores Sisp'!G$42:H$70,2,FALSE))),VLOOKUP(C83,'Deflatores Sisp'!G$42:H$70,2,FALSE),IF(OR(ISBLANK(D83),ISBLANK(C83)),"",VLOOKUP(D83,'Deflatores Sisp'!G$4:H$38,2,FALSE)*K83+VLOOKUP(D83,'Deflatores Sisp'!G$4:I$38,3,FALSE)))*W83,"")</f>
        <v>0.15000000000000002</v>
      </c>
      <c r="P83" s="120"/>
      <c r="Q83" s="68"/>
      <c r="R83" s="68"/>
      <c r="S83" s="68"/>
      <c r="T83" s="68" t="s">
        <v>59</v>
      </c>
      <c r="U83" s="68"/>
      <c r="V83" s="121"/>
      <c r="W83" s="121">
        <f t="shared" si="29"/>
        <v>0.05</v>
      </c>
      <c r="X83" s="118"/>
      <c r="Y83" s="4"/>
      <c r="Z83" s="73">
        <f t="shared" si="110"/>
        <v>0</v>
      </c>
      <c r="AA83" s="73">
        <f t="shared" si="111"/>
        <v>0</v>
      </c>
      <c r="AB83" s="73">
        <f t="shared" si="112"/>
        <v>0</v>
      </c>
      <c r="AC83" s="73">
        <f t="shared" si="113"/>
        <v>0</v>
      </c>
      <c r="AD83" s="73">
        <f t="shared" si="114"/>
        <v>0.05</v>
      </c>
      <c r="AE83" s="73">
        <f t="shared" si="117"/>
        <v>0</v>
      </c>
    </row>
    <row r="84" spans="1:31" ht="33" customHeight="1">
      <c r="A84" s="158"/>
      <c r="B84" s="162" t="s">
        <v>428</v>
      </c>
      <c r="C84" s="159" t="s">
        <v>57</v>
      </c>
      <c r="D84" s="154" t="s">
        <v>66</v>
      </c>
      <c r="E84" s="155">
        <v>6</v>
      </c>
      <c r="F84" s="157" t="s">
        <v>435</v>
      </c>
      <c r="G84" s="156">
        <v>1</v>
      </c>
      <c r="H84" s="157" t="s">
        <v>436</v>
      </c>
      <c r="I84" s="79" t="str">
        <f t="shared" ref="I84:I85" si="118">IF(ISBLANK(C84),"",IF(L84="L","Baixa",IF(L84="A","Média",IF(L84="","","Alta"))))</f>
        <v>Baixa</v>
      </c>
      <c r="J84" s="66" t="str">
        <f t="shared" ref="J84:J85" si="119">CONCATENATE(C84,L84)</f>
        <v>SEL</v>
      </c>
      <c r="K84" s="67">
        <f t="shared" ref="K84:K85" si="120">IF(ISBLANK(C84),"",IF(C84="ALI",IF(L84="L",7,IF(L84="A",10,15)),IF(C84="AIE",IF(L84="L",5,IF(L84="A",7,10)),IF(C84="SE",IF(L84="L",4,IF(L84="A",5,7)),IF(OR(C84="EE",C84="CE"),IF(L84="L",3,IF(L84="A",4,6)),0)))))</f>
        <v>4</v>
      </c>
      <c r="L84" s="70" t="str">
        <f t="shared" ref="L84:L85" si="121">IF(OR(ISBLANK(E84),ISBLANK(G84)),IF(OR(C84="ALI",C84="AIE"),"L",IF(OR(C84="EE",C84="SE",C84="CE"),"A","")),IF(C84="EE",IF(G84&gt;=3,IF(E84&gt;=5,"H","A"),IF(G84&gt;=2,IF(E84&gt;=16,"H",IF(E84&lt;=4,"L","A")),IF(E84&lt;=15,"L","A"))),IF(OR(C84="SE",C84="CE"),IF(G84&gt;=4,IF(E84&gt;=6,"H","A"),IF(G84&gt;=2,IF(E84&gt;=20,"H",IF(E84&lt;=5,"L","A")),IF(E84&lt;=19,"L","A"))),IF(OR(C84="ALI",C84="AIE"),IF(G84&gt;=6,IF(E84&gt;=20,"H","A"),IF(G84&gt;=2,IF(E84&gt;=51,"H",IF(E84&lt;=19,"L","A")),IF(E84&lt;=50,"L","A"))),""))))</f>
        <v>L</v>
      </c>
      <c r="M84" s="69" t="str">
        <f t="shared" ref="M84:M85" si="122">CONCATENATE(C84,D84)</f>
        <v>SEI</v>
      </c>
      <c r="N84" s="71">
        <f t="shared" ref="N84:N85" si="123">IF(OR(K84="",K84=0),O84,K84)</f>
        <v>4</v>
      </c>
      <c r="O84" s="78">
        <f>IFERROR(IF(NOT(ISERROR(VLOOKUP(C84,'Deflatores Sisp'!G$42:H$70,2,FALSE))),VLOOKUP(C84,'Deflatores Sisp'!G$42:H$70,2,FALSE),IF(OR(ISBLANK(D84),ISBLANK(C84)),"",VLOOKUP(D84,'Deflatores Sisp'!G$4:H$38,2,FALSE)*K84+VLOOKUP(D84,'Deflatores Sisp'!G$4:I$38,3,FALSE)))*W84,"")</f>
        <v>0.2</v>
      </c>
      <c r="P84" s="120"/>
      <c r="Q84" s="68"/>
      <c r="R84" s="68"/>
      <c r="S84" s="68"/>
      <c r="T84" s="68" t="s">
        <v>59</v>
      </c>
      <c r="U84" s="68"/>
      <c r="V84" s="121"/>
      <c r="W84" s="121">
        <f t="shared" si="29"/>
        <v>0.05</v>
      </c>
      <c r="X84" s="118"/>
      <c r="Y84" s="4"/>
      <c r="Z84" s="73">
        <f t="shared" si="110"/>
        <v>0</v>
      </c>
      <c r="AA84" s="73">
        <f t="shared" si="111"/>
        <v>0</v>
      </c>
      <c r="AB84" s="73">
        <f t="shared" si="112"/>
        <v>0</v>
      </c>
      <c r="AC84" s="73">
        <f t="shared" si="113"/>
        <v>0</v>
      </c>
      <c r="AD84" s="73">
        <f t="shared" si="114"/>
        <v>0.05</v>
      </c>
      <c r="AE84" s="73">
        <f t="shared" ref="AE84:AE85" si="124">IF(U84="x",5%,0)</f>
        <v>0</v>
      </c>
    </row>
    <row r="85" spans="1:31" ht="33" customHeight="1">
      <c r="A85" s="158"/>
      <c r="B85" s="162" t="s">
        <v>430</v>
      </c>
      <c r="C85" s="159" t="s">
        <v>65</v>
      </c>
      <c r="D85" s="154" t="s">
        <v>66</v>
      </c>
      <c r="E85" s="155">
        <v>5</v>
      </c>
      <c r="F85" s="157" t="s">
        <v>431</v>
      </c>
      <c r="G85" s="156">
        <v>1</v>
      </c>
      <c r="H85" s="157" t="s">
        <v>432</v>
      </c>
      <c r="I85" s="79" t="str">
        <f t="shared" si="118"/>
        <v>Baixa</v>
      </c>
      <c r="J85" s="66" t="str">
        <f t="shared" si="119"/>
        <v>ALIL</v>
      </c>
      <c r="K85" s="67">
        <f t="shared" si="120"/>
        <v>7</v>
      </c>
      <c r="L85" s="70" t="str">
        <f t="shared" si="121"/>
        <v>L</v>
      </c>
      <c r="M85" s="69" t="str">
        <f t="shared" si="122"/>
        <v>ALII</v>
      </c>
      <c r="N85" s="71">
        <f t="shared" si="123"/>
        <v>7</v>
      </c>
      <c r="O85" s="78">
        <f>IFERROR(IF(NOT(ISERROR(VLOOKUP(C85,'Deflatores Sisp'!G$42:H$70,2,FALSE))),VLOOKUP(C85,'Deflatores Sisp'!G$42:H$70,2,FALSE),IF(OR(ISBLANK(D85),ISBLANK(C85)),"",VLOOKUP(D85,'Deflatores Sisp'!G$4:H$38,2,FALSE)*K85+VLOOKUP(D85,'Deflatores Sisp'!G$4:I$38,3,FALSE)))*W85,"")</f>
        <v>0.35000000000000003</v>
      </c>
      <c r="P85" s="120"/>
      <c r="Q85" s="68"/>
      <c r="R85" s="68"/>
      <c r="S85" s="68"/>
      <c r="T85" s="68" t="s">
        <v>59</v>
      </c>
      <c r="U85" s="68"/>
      <c r="V85" s="121"/>
      <c r="W85" s="121">
        <f t="shared" ref="W85:W126" si="125">IF(V85="",SUM(Z85:AE85),IF(C85="PA",E85,100%))</f>
        <v>0.05</v>
      </c>
      <c r="X85" s="118"/>
      <c r="Y85" s="4"/>
      <c r="Z85" s="73">
        <f t="shared" si="110"/>
        <v>0</v>
      </c>
      <c r="AA85" s="73">
        <f t="shared" si="111"/>
        <v>0</v>
      </c>
      <c r="AB85" s="73">
        <f t="shared" si="112"/>
        <v>0</v>
      </c>
      <c r="AC85" s="73">
        <f t="shared" si="113"/>
        <v>0</v>
      </c>
      <c r="AD85" s="73">
        <f t="shared" si="114"/>
        <v>0.05</v>
      </c>
      <c r="AE85" s="73">
        <f t="shared" si="124"/>
        <v>0</v>
      </c>
    </row>
    <row r="86" spans="1:31" ht="33" customHeight="1">
      <c r="A86" s="158"/>
      <c r="B86" s="162" t="s">
        <v>437</v>
      </c>
      <c r="C86" s="159" t="s">
        <v>64</v>
      </c>
      <c r="D86" s="154" t="s">
        <v>66</v>
      </c>
      <c r="E86" s="155">
        <v>5</v>
      </c>
      <c r="F86" s="157" t="s">
        <v>438</v>
      </c>
      <c r="G86" s="156">
        <v>1</v>
      </c>
      <c r="H86" s="157" t="s">
        <v>436</v>
      </c>
      <c r="I86" s="79" t="str">
        <f t="shared" ref="I86:I87" si="126">IF(ISBLANK(C86),"",IF(L86="L","Baixa",IF(L86="A","Média",IF(L86="","","Alta"))))</f>
        <v>Baixa</v>
      </c>
      <c r="J86" s="66" t="str">
        <f t="shared" ref="J86:J87" si="127">CONCATENATE(C86,L86)</f>
        <v>CEL</v>
      </c>
      <c r="K86" s="67">
        <f t="shared" ref="K86:K87" si="128">IF(ISBLANK(C86),"",IF(C86="ALI",IF(L86="L",7,IF(L86="A",10,15)),IF(C86="AIE",IF(L86="L",5,IF(L86="A",7,10)),IF(C86="SE",IF(L86="L",4,IF(L86="A",5,7)),IF(OR(C86="EE",C86="CE"),IF(L86="L",3,IF(L86="A",4,6)),0)))))</f>
        <v>3</v>
      </c>
      <c r="L86" s="70" t="str">
        <f t="shared" ref="L86:L87" si="129">IF(OR(ISBLANK(E86),ISBLANK(G86)),IF(OR(C86="ALI",C86="AIE"),"L",IF(OR(C86="EE",C86="SE",C86="CE"),"A","")),IF(C86="EE",IF(G86&gt;=3,IF(E86&gt;=5,"H","A"),IF(G86&gt;=2,IF(E86&gt;=16,"H",IF(E86&lt;=4,"L","A")),IF(E86&lt;=15,"L","A"))),IF(OR(C86="SE",C86="CE"),IF(G86&gt;=4,IF(E86&gt;=6,"H","A"),IF(G86&gt;=2,IF(E86&gt;=20,"H",IF(E86&lt;=5,"L","A")),IF(E86&lt;=19,"L","A"))),IF(OR(C86="ALI",C86="AIE"),IF(G86&gt;=6,IF(E86&gt;=20,"H","A"),IF(G86&gt;=2,IF(E86&gt;=51,"H",IF(E86&lt;=19,"L","A")),IF(E86&lt;=50,"L","A"))),""))))</f>
        <v>L</v>
      </c>
      <c r="M86" s="69" t="str">
        <f t="shared" ref="M86:M87" si="130">CONCATENATE(C86,D86)</f>
        <v>CEI</v>
      </c>
      <c r="N86" s="71">
        <f t="shared" ref="N86:N87" si="131">IF(OR(K86="",K86=0),O86,K86)</f>
        <v>3</v>
      </c>
      <c r="O86" s="78">
        <f>IFERROR(IF(NOT(ISERROR(VLOOKUP(C86,'Deflatores Sisp'!G$42:H$70,2,FALSE))),VLOOKUP(C86,'Deflatores Sisp'!G$42:H$70,2,FALSE),IF(OR(ISBLANK(D86),ISBLANK(C86)),"",VLOOKUP(D86,'Deflatores Sisp'!G$4:H$38,2,FALSE)*K86+VLOOKUP(D86,'Deflatores Sisp'!G$4:I$38,3,FALSE)))*W86,"")</f>
        <v>0.15000000000000002</v>
      </c>
      <c r="P86" s="120"/>
      <c r="Q86" s="68"/>
      <c r="R86" s="68"/>
      <c r="S86" s="68"/>
      <c r="T86" s="68" t="s">
        <v>59</v>
      </c>
      <c r="U86" s="68"/>
      <c r="V86" s="121"/>
      <c r="W86" s="121">
        <f t="shared" si="125"/>
        <v>0.05</v>
      </c>
      <c r="X86" s="118"/>
      <c r="Y86" s="4"/>
      <c r="Z86" s="73">
        <f t="shared" si="110"/>
        <v>0</v>
      </c>
      <c r="AA86" s="73">
        <f t="shared" si="111"/>
        <v>0</v>
      </c>
      <c r="AB86" s="73">
        <f t="shared" si="112"/>
        <v>0</v>
      </c>
      <c r="AC86" s="73">
        <f t="shared" si="113"/>
        <v>0</v>
      </c>
      <c r="AD86" s="73">
        <f t="shared" si="114"/>
        <v>0.05</v>
      </c>
      <c r="AE86" s="73">
        <f t="shared" ref="AE86:AE87" si="132">IF(U86="x",5%,0)</f>
        <v>0</v>
      </c>
    </row>
    <row r="87" spans="1:31" ht="33" customHeight="1">
      <c r="A87" s="158"/>
      <c r="B87" s="162" t="s">
        <v>439</v>
      </c>
      <c r="C87" s="159" t="s">
        <v>60</v>
      </c>
      <c r="D87" s="154" t="s">
        <v>66</v>
      </c>
      <c r="E87" s="155">
        <v>6</v>
      </c>
      <c r="F87" s="157" t="s">
        <v>440</v>
      </c>
      <c r="G87" s="156">
        <v>2</v>
      </c>
      <c r="H87" s="157" t="s">
        <v>441</v>
      </c>
      <c r="I87" s="79" t="str">
        <f t="shared" si="126"/>
        <v>Média</v>
      </c>
      <c r="J87" s="66" t="str">
        <f t="shared" si="127"/>
        <v>EEA</v>
      </c>
      <c r="K87" s="67">
        <f t="shared" si="128"/>
        <v>4</v>
      </c>
      <c r="L87" s="70" t="str">
        <f t="shared" si="129"/>
        <v>A</v>
      </c>
      <c r="M87" s="69" t="str">
        <f t="shared" si="130"/>
        <v>EEI</v>
      </c>
      <c r="N87" s="71">
        <f t="shared" si="131"/>
        <v>4</v>
      </c>
      <c r="O87" s="78">
        <f>IFERROR(IF(NOT(ISERROR(VLOOKUP(C87,'Deflatores Sisp'!G$42:H$70,2,FALSE))),VLOOKUP(C87,'Deflatores Sisp'!G$42:H$70,2,FALSE),IF(OR(ISBLANK(D87),ISBLANK(C87)),"",VLOOKUP(D87,'Deflatores Sisp'!G$4:H$38,2,FALSE)*K87+VLOOKUP(D87,'Deflatores Sisp'!G$4:I$38,3,FALSE)))*W87,"")</f>
        <v>0.2</v>
      </c>
      <c r="P87" s="120"/>
      <c r="Q87" s="68"/>
      <c r="R87" s="68"/>
      <c r="S87" s="68"/>
      <c r="T87" s="68" t="s">
        <v>59</v>
      </c>
      <c r="U87" s="68"/>
      <c r="V87" s="121"/>
      <c r="W87" s="121">
        <f t="shared" si="125"/>
        <v>0.05</v>
      </c>
      <c r="X87" s="118"/>
      <c r="Y87" s="4"/>
      <c r="Z87" s="73">
        <f t="shared" si="110"/>
        <v>0</v>
      </c>
      <c r="AA87" s="73">
        <f t="shared" si="111"/>
        <v>0</v>
      </c>
      <c r="AB87" s="73">
        <f t="shared" si="112"/>
        <v>0</v>
      </c>
      <c r="AC87" s="73">
        <f t="shared" si="113"/>
        <v>0</v>
      </c>
      <c r="AD87" s="73">
        <f t="shared" si="114"/>
        <v>0.05</v>
      </c>
      <c r="AE87" s="73">
        <f t="shared" si="132"/>
        <v>0</v>
      </c>
    </row>
    <row r="88" spans="1:31" ht="33" customHeight="1">
      <c r="A88" s="158"/>
      <c r="B88" s="162" t="s">
        <v>442</v>
      </c>
      <c r="C88" s="159" t="s">
        <v>64</v>
      </c>
      <c r="D88" s="154" t="s">
        <v>66</v>
      </c>
      <c r="E88" s="155">
        <v>7</v>
      </c>
      <c r="F88" s="157" t="s">
        <v>443</v>
      </c>
      <c r="G88" s="156">
        <v>3</v>
      </c>
      <c r="H88" s="157" t="s">
        <v>444</v>
      </c>
      <c r="I88" s="79" t="str">
        <f t="shared" ref="I88:I93" si="133">IF(ISBLANK(C88),"",IF(L88="L","Baixa",IF(L88="A","Média",IF(L88="","","Alta"))))</f>
        <v>Média</v>
      </c>
      <c r="J88" s="66" t="str">
        <f t="shared" ref="J88:J93" si="134">CONCATENATE(C88,L88)</f>
        <v>CEA</v>
      </c>
      <c r="K88" s="67">
        <f t="shared" ref="K88:K93" si="135">IF(ISBLANK(C88),"",IF(C88="ALI",IF(L88="L",7,IF(L88="A",10,15)),IF(C88="AIE",IF(L88="L",5,IF(L88="A",7,10)),IF(C88="SE",IF(L88="L",4,IF(L88="A",5,7)),IF(OR(C88="EE",C88="CE"),IF(L88="L",3,IF(L88="A",4,6)),0)))))</f>
        <v>4</v>
      </c>
      <c r="L88" s="70" t="str">
        <f t="shared" ref="L88:L93" si="136">IF(OR(ISBLANK(E88),ISBLANK(G88)),IF(OR(C88="ALI",C88="AIE"),"L",IF(OR(C88="EE",C88="SE",C88="CE"),"A","")),IF(C88="EE",IF(G88&gt;=3,IF(E88&gt;=5,"H","A"),IF(G88&gt;=2,IF(E88&gt;=16,"H",IF(E88&lt;=4,"L","A")),IF(E88&lt;=15,"L","A"))),IF(OR(C88="SE",C88="CE"),IF(G88&gt;=4,IF(E88&gt;=6,"H","A"),IF(G88&gt;=2,IF(E88&gt;=20,"H",IF(E88&lt;=5,"L","A")),IF(E88&lt;=19,"L","A"))),IF(OR(C88="ALI",C88="AIE"),IF(G88&gt;=6,IF(E88&gt;=20,"H","A"),IF(G88&gt;=2,IF(E88&gt;=51,"H",IF(E88&lt;=19,"L","A")),IF(E88&lt;=50,"L","A"))),""))))</f>
        <v>A</v>
      </c>
      <c r="M88" s="69" t="str">
        <f t="shared" ref="M88:M93" si="137">CONCATENATE(C88,D88)</f>
        <v>CEI</v>
      </c>
      <c r="N88" s="71">
        <f t="shared" ref="N88:N93" si="138">IF(OR(K88="",K88=0),O88,K88)</f>
        <v>4</v>
      </c>
      <c r="O88" s="78">
        <f>IFERROR(IF(NOT(ISERROR(VLOOKUP(C88,'Deflatores Sisp'!G$42:H$70,2,FALSE))),VLOOKUP(C88,'Deflatores Sisp'!G$42:H$70,2,FALSE),IF(OR(ISBLANK(D88),ISBLANK(C88)),"",VLOOKUP(D88,'Deflatores Sisp'!G$4:H$38,2,FALSE)*K88+VLOOKUP(D88,'Deflatores Sisp'!G$4:I$38,3,FALSE)))*W88,"")</f>
        <v>0.2</v>
      </c>
      <c r="P88" s="120"/>
      <c r="Q88" s="68"/>
      <c r="R88" s="68"/>
      <c r="S88" s="68"/>
      <c r="T88" s="68" t="s">
        <v>59</v>
      </c>
      <c r="U88" s="68"/>
      <c r="V88" s="121"/>
      <c r="W88" s="121">
        <f t="shared" si="125"/>
        <v>0.05</v>
      </c>
      <c r="X88" s="118"/>
      <c r="Y88" s="4"/>
      <c r="Z88" s="73">
        <f t="shared" si="110"/>
        <v>0</v>
      </c>
      <c r="AA88" s="73">
        <f t="shared" si="111"/>
        <v>0</v>
      </c>
      <c r="AB88" s="73">
        <f t="shared" si="112"/>
        <v>0</v>
      </c>
      <c r="AC88" s="73">
        <f t="shared" si="113"/>
        <v>0</v>
      </c>
      <c r="AD88" s="73">
        <f t="shared" si="114"/>
        <v>0.05</v>
      </c>
      <c r="AE88" s="73">
        <f t="shared" ref="AE88:AE93" si="139">IF(U88="x",5%,0)</f>
        <v>0</v>
      </c>
    </row>
    <row r="89" spans="1:31" ht="33" customHeight="1">
      <c r="A89" s="158" t="s">
        <v>667</v>
      </c>
      <c r="B89" s="162" t="s">
        <v>449</v>
      </c>
      <c r="C89" s="159" t="s">
        <v>65</v>
      </c>
      <c r="D89" s="154" t="s">
        <v>66</v>
      </c>
      <c r="E89" s="155">
        <v>12</v>
      </c>
      <c r="F89" s="157" t="s">
        <v>450</v>
      </c>
      <c r="G89" s="156">
        <v>2</v>
      </c>
      <c r="H89" s="157" t="s">
        <v>451</v>
      </c>
      <c r="I89" s="79" t="str">
        <f t="shared" si="133"/>
        <v>Baixa</v>
      </c>
      <c r="J89" s="66" t="str">
        <f t="shared" si="134"/>
        <v>ALIL</v>
      </c>
      <c r="K89" s="67">
        <f t="shared" si="135"/>
        <v>7</v>
      </c>
      <c r="L89" s="70" t="str">
        <f t="shared" si="136"/>
        <v>L</v>
      </c>
      <c r="M89" s="69" t="str">
        <f t="shared" si="137"/>
        <v>ALII</v>
      </c>
      <c r="N89" s="71">
        <f t="shared" si="138"/>
        <v>7</v>
      </c>
      <c r="O89" s="78">
        <f>IFERROR(IF(NOT(ISERROR(VLOOKUP(C89,'Deflatores Sisp'!G$42:H$70,2,FALSE))),VLOOKUP(C89,'Deflatores Sisp'!G$42:H$70,2,FALSE),IF(OR(ISBLANK(D89),ISBLANK(C89)),"",VLOOKUP(D89,'Deflatores Sisp'!G$4:H$38,2,FALSE)*K89+VLOOKUP(D89,'Deflatores Sisp'!G$4:I$38,3,FALSE)))*W89,"")</f>
        <v>0.35000000000000003</v>
      </c>
      <c r="P89" s="120"/>
      <c r="Q89" s="68"/>
      <c r="R89" s="68"/>
      <c r="S89" s="68"/>
      <c r="T89" s="68" t="s">
        <v>59</v>
      </c>
      <c r="U89" s="68"/>
      <c r="V89" s="121"/>
      <c r="W89" s="121">
        <f t="shared" si="125"/>
        <v>0.05</v>
      </c>
      <c r="X89" s="118"/>
      <c r="Y89" s="4"/>
      <c r="Z89" s="73">
        <f t="shared" ref="Z89:Z115" si="140">IF(P89="x",25%,0)</f>
        <v>0</v>
      </c>
      <c r="AA89" s="73">
        <f t="shared" si="111"/>
        <v>0</v>
      </c>
      <c r="AB89" s="73">
        <f t="shared" si="112"/>
        <v>0</v>
      </c>
      <c r="AC89" s="73">
        <f t="shared" si="113"/>
        <v>0</v>
      </c>
      <c r="AD89" s="73">
        <f t="shared" si="114"/>
        <v>0.05</v>
      </c>
      <c r="AE89" s="73">
        <f t="shared" si="139"/>
        <v>0</v>
      </c>
    </row>
    <row r="90" spans="1:31" ht="33" customHeight="1">
      <c r="A90" s="158" t="s">
        <v>667</v>
      </c>
      <c r="B90" s="162" t="s">
        <v>452</v>
      </c>
      <c r="C90" s="159" t="s">
        <v>65</v>
      </c>
      <c r="D90" s="154" t="s">
        <v>66</v>
      </c>
      <c r="E90" s="155">
        <v>7</v>
      </c>
      <c r="F90" s="157" t="s">
        <v>453</v>
      </c>
      <c r="G90" s="156">
        <v>2</v>
      </c>
      <c r="H90" s="157" t="s">
        <v>454</v>
      </c>
      <c r="I90" s="79" t="str">
        <f t="shared" si="133"/>
        <v>Baixa</v>
      </c>
      <c r="J90" s="66" t="str">
        <f t="shared" si="134"/>
        <v>ALIL</v>
      </c>
      <c r="K90" s="67">
        <f t="shared" si="135"/>
        <v>7</v>
      </c>
      <c r="L90" s="70" t="str">
        <f t="shared" si="136"/>
        <v>L</v>
      </c>
      <c r="M90" s="69" t="str">
        <f t="shared" si="137"/>
        <v>ALII</v>
      </c>
      <c r="N90" s="71">
        <f t="shared" si="138"/>
        <v>7</v>
      </c>
      <c r="O90" s="78">
        <f>IFERROR(IF(NOT(ISERROR(VLOOKUP(C90,'Deflatores Sisp'!G$42:H$70,2,FALSE))),VLOOKUP(C90,'Deflatores Sisp'!G$42:H$70,2,FALSE),IF(OR(ISBLANK(D90),ISBLANK(C90)),"",VLOOKUP(D90,'Deflatores Sisp'!G$4:H$38,2,FALSE)*K90+VLOOKUP(D90,'Deflatores Sisp'!G$4:I$38,3,FALSE)))*W90,"")</f>
        <v>0.35000000000000003</v>
      </c>
      <c r="P90" s="120"/>
      <c r="Q90" s="68"/>
      <c r="R90" s="68"/>
      <c r="S90" s="68"/>
      <c r="T90" s="68" t="s">
        <v>59</v>
      </c>
      <c r="U90" s="68"/>
      <c r="V90" s="121"/>
      <c r="W90" s="121">
        <f t="shared" si="125"/>
        <v>0.05</v>
      </c>
      <c r="X90" s="118"/>
      <c r="Y90" s="4"/>
      <c r="Z90" s="73">
        <f t="shared" si="140"/>
        <v>0</v>
      </c>
      <c r="AA90" s="73">
        <f t="shared" si="111"/>
        <v>0</v>
      </c>
      <c r="AB90" s="73">
        <f t="shared" si="112"/>
        <v>0</v>
      </c>
      <c r="AC90" s="73">
        <f t="shared" si="113"/>
        <v>0</v>
      </c>
      <c r="AD90" s="73">
        <f t="shared" si="114"/>
        <v>0.05</v>
      </c>
      <c r="AE90" s="73">
        <f t="shared" si="139"/>
        <v>0</v>
      </c>
    </row>
    <row r="91" spans="1:31" ht="33" customHeight="1">
      <c r="A91" s="158" t="s">
        <v>667</v>
      </c>
      <c r="B91" s="162" t="s">
        <v>455</v>
      </c>
      <c r="C91" s="159" t="s">
        <v>65</v>
      </c>
      <c r="D91" s="154" t="s">
        <v>66</v>
      </c>
      <c r="E91" s="155">
        <v>9</v>
      </c>
      <c r="F91" s="157" t="s">
        <v>456</v>
      </c>
      <c r="G91" s="156">
        <v>2</v>
      </c>
      <c r="H91" s="157" t="s">
        <v>457</v>
      </c>
      <c r="I91" s="79" t="str">
        <f t="shared" si="133"/>
        <v>Baixa</v>
      </c>
      <c r="J91" s="66" t="str">
        <f t="shared" si="134"/>
        <v>ALIL</v>
      </c>
      <c r="K91" s="67">
        <f t="shared" si="135"/>
        <v>7</v>
      </c>
      <c r="L91" s="70" t="str">
        <f t="shared" si="136"/>
        <v>L</v>
      </c>
      <c r="M91" s="69" t="str">
        <f t="shared" si="137"/>
        <v>ALII</v>
      </c>
      <c r="N91" s="71">
        <f t="shared" si="138"/>
        <v>7</v>
      </c>
      <c r="O91" s="78">
        <f>IFERROR(IF(NOT(ISERROR(VLOOKUP(C91,'Deflatores Sisp'!G$42:H$70,2,FALSE))),VLOOKUP(C91,'Deflatores Sisp'!G$42:H$70,2,FALSE),IF(OR(ISBLANK(D91),ISBLANK(C91)),"",VLOOKUP(D91,'Deflatores Sisp'!G$4:H$38,2,FALSE)*K91+VLOOKUP(D91,'Deflatores Sisp'!G$4:I$38,3,FALSE)))*W91,"")</f>
        <v>0.35000000000000003</v>
      </c>
      <c r="P91" s="120"/>
      <c r="Q91" s="68"/>
      <c r="R91" s="68"/>
      <c r="S91" s="68"/>
      <c r="T91" s="68" t="s">
        <v>59</v>
      </c>
      <c r="U91" s="68"/>
      <c r="V91" s="121"/>
      <c r="W91" s="121">
        <f t="shared" si="125"/>
        <v>0.05</v>
      </c>
      <c r="X91" s="118"/>
      <c r="Y91" s="4"/>
      <c r="Z91" s="73">
        <f t="shared" si="140"/>
        <v>0</v>
      </c>
      <c r="AA91" s="73">
        <f t="shared" si="111"/>
        <v>0</v>
      </c>
      <c r="AB91" s="73">
        <f t="shared" si="112"/>
        <v>0</v>
      </c>
      <c r="AC91" s="73">
        <f t="shared" si="113"/>
        <v>0</v>
      </c>
      <c r="AD91" s="73">
        <f t="shared" si="114"/>
        <v>0.05</v>
      </c>
      <c r="AE91" s="73">
        <f t="shared" si="139"/>
        <v>0</v>
      </c>
    </row>
    <row r="92" spans="1:31" ht="33" customHeight="1">
      <c r="A92" s="158" t="s">
        <v>667</v>
      </c>
      <c r="B92" s="162" t="s">
        <v>458</v>
      </c>
      <c r="C92" s="159" t="s">
        <v>65</v>
      </c>
      <c r="D92" s="154" t="s">
        <v>66</v>
      </c>
      <c r="E92" s="155">
        <v>16</v>
      </c>
      <c r="F92" s="157" t="s">
        <v>459</v>
      </c>
      <c r="G92" s="156">
        <v>4</v>
      </c>
      <c r="H92" s="157" t="s">
        <v>460</v>
      </c>
      <c r="I92" s="79" t="str">
        <f t="shared" si="133"/>
        <v>Baixa</v>
      </c>
      <c r="J92" s="66" t="str">
        <f t="shared" si="134"/>
        <v>ALIL</v>
      </c>
      <c r="K92" s="67">
        <f t="shared" si="135"/>
        <v>7</v>
      </c>
      <c r="L92" s="70" t="str">
        <f t="shared" si="136"/>
        <v>L</v>
      </c>
      <c r="M92" s="69" t="str">
        <f t="shared" si="137"/>
        <v>ALII</v>
      </c>
      <c r="N92" s="71">
        <f t="shared" si="138"/>
        <v>7</v>
      </c>
      <c r="O92" s="78">
        <f>IFERROR(IF(NOT(ISERROR(VLOOKUP(C92,'Deflatores Sisp'!G$42:H$70,2,FALSE))),VLOOKUP(C92,'Deflatores Sisp'!G$42:H$70,2,FALSE),IF(OR(ISBLANK(D92),ISBLANK(C92)),"",VLOOKUP(D92,'Deflatores Sisp'!G$4:H$38,2,FALSE)*K92+VLOOKUP(D92,'Deflatores Sisp'!G$4:I$38,3,FALSE)))*W92,"")</f>
        <v>0.35000000000000003</v>
      </c>
      <c r="P92" s="120"/>
      <c r="Q92" s="68"/>
      <c r="R92" s="68"/>
      <c r="S92" s="68"/>
      <c r="T92" s="68" t="s">
        <v>59</v>
      </c>
      <c r="U92" s="68"/>
      <c r="V92" s="121"/>
      <c r="W92" s="121">
        <f t="shared" si="125"/>
        <v>0.05</v>
      </c>
      <c r="X92" s="118"/>
      <c r="Y92" s="4"/>
      <c r="Z92" s="73">
        <f t="shared" si="140"/>
        <v>0</v>
      </c>
      <c r="AA92" s="73">
        <f t="shared" si="111"/>
        <v>0</v>
      </c>
      <c r="AB92" s="73">
        <f t="shared" si="112"/>
        <v>0</v>
      </c>
      <c r="AC92" s="73">
        <f t="shared" si="113"/>
        <v>0</v>
      </c>
      <c r="AD92" s="73">
        <f t="shared" si="114"/>
        <v>0.05</v>
      </c>
      <c r="AE92" s="73">
        <f t="shared" si="139"/>
        <v>0</v>
      </c>
    </row>
    <row r="93" spans="1:31" ht="33" customHeight="1">
      <c r="A93" s="158" t="s">
        <v>667</v>
      </c>
      <c r="B93" s="162" t="s">
        <v>461</v>
      </c>
      <c r="C93" s="159" t="s">
        <v>65</v>
      </c>
      <c r="D93" s="154" t="s">
        <v>66</v>
      </c>
      <c r="E93" s="155">
        <v>10</v>
      </c>
      <c r="F93" s="157" t="s">
        <v>462</v>
      </c>
      <c r="G93" s="156">
        <v>2</v>
      </c>
      <c r="H93" s="157" t="s">
        <v>463</v>
      </c>
      <c r="I93" s="79" t="str">
        <f t="shared" si="133"/>
        <v>Baixa</v>
      </c>
      <c r="J93" s="66" t="str">
        <f t="shared" si="134"/>
        <v>ALIL</v>
      </c>
      <c r="K93" s="67">
        <f t="shared" si="135"/>
        <v>7</v>
      </c>
      <c r="L93" s="70" t="str">
        <f t="shared" si="136"/>
        <v>L</v>
      </c>
      <c r="M93" s="69" t="str">
        <f t="shared" si="137"/>
        <v>ALII</v>
      </c>
      <c r="N93" s="71">
        <f t="shared" si="138"/>
        <v>7</v>
      </c>
      <c r="O93" s="78">
        <f>IFERROR(IF(NOT(ISERROR(VLOOKUP(C93,'Deflatores Sisp'!G$42:H$70,2,FALSE))),VLOOKUP(C93,'Deflatores Sisp'!G$42:H$70,2,FALSE),IF(OR(ISBLANK(D93),ISBLANK(C93)),"",VLOOKUP(D93,'Deflatores Sisp'!G$4:H$38,2,FALSE)*K93+VLOOKUP(D93,'Deflatores Sisp'!G$4:I$38,3,FALSE)))*W93,"")</f>
        <v>0.35000000000000003</v>
      </c>
      <c r="P93" s="120"/>
      <c r="Q93" s="68"/>
      <c r="R93" s="68"/>
      <c r="S93" s="68"/>
      <c r="T93" s="68" t="s">
        <v>59</v>
      </c>
      <c r="U93" s="68"/>
      <c r="V93" s="121"/>
      <c r="W93" s="121">
        <f t="shared" si="125"/>
        <v>0.05</v>
      </c>
      <c r="X93" s="118"/>
      <c r="Y93" s="4"/>
      <c r="Z93" s="73">
        <f t="shared" si="140"/>
        <v>0</v>
      </c>
      <c r="AA93" s="73">
        <f t="shared" si="111"/>
        <v>0</v>
      </c>
      <c r="AB93" s="73">
        <f t="shared" si="112"/>
        <v>0</v>
      </c>
      <c r="AC93" s="73">
        <f t="shared" si="113"/>
        <v>0</v>
      </c>
      <c r="AD93" s="73">
        <f t="shared" si="114"/>
        <v>0.05</v>
      </c>
      <c r="AE93" s="73">
        <f t="shared" si="139"/>
        <v>0</v>
      </c>
    </row>
    <row r="94" spans="1:31" ht="33" customHeight="1">
      <c r="A94" s="158" t="s">
        <v>667</v>
      </c>
      <c r="B94" s="162" t="s">
        <v>464</v>
      </c>
      <c r="C94" s="159" t="s">
        <v>65</v>
      </c>
      <c r="D94" s="154" t="s">
        <v>66</v>
      </c>
      <c r="E94" s="155">
        <v>11</v>
      </c>
      <c r="F94" s="157" t="s">
        <v>465</v>
      </c>
      <c r="G94" s="156">
        <v>3</v>
      </c>
      <c r="H94" s="157" t="s">
        <v>466</v>
      </c>
      <c r="I94" s="79" t="str">
        <f t="shared" ref="I94:I101" si="141">IF(ISBLANK(C94),"",IF(L94="L","Baixa",IF(L94="A","Média",IF(L94="","","Alta"))))</f>
        <v>Baixa</v>
      </c>
      <c r="J94" s="66" t="str">
        <f t="shared" ref="J94:J101" si="142">CONCATENATE(C94,L94)</f>
        <v>ALIL</v>
      </c>
      <c r="K94" s="67">
        <f t="shared" ref="K94:K101" si="143">IF(ISBLANK(C94),"",IF(C94="ALI",IF(L94="L",7,IF(L94="A",10,15)),IF(C94="AIE",IF(L94="L",5,IF(L94="A",7,10)),IF(C94="SE",IF(L94="L",4,IF(L94="A",5,7)),IF(OR(C94="EE",C94="CE"),IF(L94="L",3,IF(L94="A",4,6)),0)))))</f>
        <v>7</v>
      </c>
      <c r="L94" s="70" t="str">
        <f t="shared" ref="L94:L101" si="144">IF(OR(ISBLANK(E94),ISBLANK(G94)),IF(OR(C94="ALI",C94="AIE"),"L",IF(OR(C94="EE",C94="SE",C94="CE"),"A","")),IF(C94="EE",IF(G94&gt;=3,IF(E94&gt;=5,"H","A"),IF(G94&gt;=2,IF(E94&gt;=16,"H",IF(E94&lt;=4,"L","A")),IF(E94&lt;=15,"L","A"))),IF(OR(C94="SE",C94="CE"),IF(G94&gt;=4,IF(E94&gt;=6,"H","A"),IF(G94&gt;=2,IF(E94&gt;=20,"H",IF(E94&lt;=5,"L","A")),IF(E94&lt;=19,"L","A"))),IF(OR(C94="ALI",C94="AIE"),IF(G94&gt;=6,IF(E94&gt;=20,"H","A"),IF(G94&gt;=2,IF(E94&gt;=51,"H",IF(E94&lt;=19,"L","A")),IF(E94&lt;=50,"L","A"))),""))))</f>
        <v>L</v>
      </c>
      <c r="M94" s="69" t="str">
        <f t="shared" ref="M94:M101" si="145">CONCATENATE(C94,D94)</f>
        <v>ALII</v>
      </c>
      <c r="N94" s="71">
        <f t="shared" ref="N94:N101" si="146">IF(OR(K94="",K94=0),O94,K94)</f>
        <v>7</v>
      </c>
      <c r="O94" s="78">
        <f>IFERROR(IF(NOT(ISERROR(VLOOKUP(C94,'Deflatores Sisp'!G$42:H$70,2,FALSE))),VLOOKUP(C94,'Deflatores Sisp'!G$42:H$70,2,FALSE),IF(OR(ISBLANK(D94),ISBLANK(C94)),"",VLOOKUP(D94,'Deflatores Sisp'!G$4:H$38,2,FALSE)*K94+VLOOKUP(D94,'Deflatores Sisp'!G$4:I$38,3,FALSE)))*W94,"")</f>
        <v>0.35000000000000003</v>
      </c>
      <c r="P94" s="120"/>
      <c r="Q94" s="68"/>
      <c r="R94" s="68"/>
      <c r="S94" s="68"/>
      <c r="T94" s="68" t="s">
        <v>59</v>
      </c>
      <c r="U94" s="68"/>
      <c r="V94" s="121"/>
      <c r="W94" s="121">
        <f t="shared" si="125"/>
        <v>0.05</v>
      </c>
      <c r="X94" s="118"/>
      <c r="Y94" s="4"/>
      <c r="Z94" s="73">
        <f t="shared" si="140"/>
        <v>0</v>
      </c>
      <c r="AA94" s="73">
        <f t="shared" si="111"/>
        <v>0</v>
      </c>
      <c r="AB94" s="73">
        <f t="shared" si="112"/>
        <v>0</v>
      </c>
      <c r="AC94" s="73">
        <f t="shared" si="113"/>
        <v>0</v>
      </c>
      <c r="AD94" s="73">
        <f t="shared" si="114"/>
        <v>0.05</v>
      </c>
      <c r="AE94" s="73">
        <f t="shared" ref="AE94:AE101" si="147">IF(U94="x",5%,0)</f>
        <v>0</v>
      </c>
    </row>
    <row r="95" spans="1:31" ht="33" customHeight="1">
      <c r="A95" s="158" t="s">
        <v>667</v>
      </c>
      <c r="B95" s="162" t="s">
        <v>467</v>
      </c>
      <c r="C95" s="159" t="s">
        <v>65</v>
      </c>
      <c r="D95" s="154" t="s">
        <v>66</v>
      </c>
      <c r="E95" s="155">
        <v>14</v>
      </c>
      <c r="F95" s="157" t="s">
        <v>468</v>
      </c>
      <c r="G95" s="156">
        <v>3</v>
      </c>
      <c r="H95" s="157" t="s">
        <v>469</v>
      </c>
      <c r="I95" s="79" t="str">
        <f t="shared" si="141"/>
        <v>Baixa</v>
      </c>
      <c r="J95" s="66" t="str">
        <f t="shared" si="142"/>
        <v>ALIL</v>
      </c>
      <c r="K95" s="67">
        <f t="shared" si="143"/>
        <v>7</v>
      </c>
      <c r="L95" s="70" t="str">
        <f t="shared" si="144"/>
        <v>L</v>
      </c>
      <c r="M95" s="69" t="str">
        <f t="shared" si="145"/>
        <v>ALII</v>
      </c>
      <c r="N95" s="71">
        <f t="shared" si="146"/>
        <v>7</v>
      </c>
      <c r="O95" s="78">
        <f>IFERROR(IF(NOT(ISERROR(VLOOKUP(C95,'Deflatores Sisp'!G$42:H$70,2,FALSE))),VLOOKUP(C95,'Deflatores Sisp'!G$42:H$70,2,FALSE),IF(OR(ISBLANK(D95),ISBLANK(C95)),"",VLOOKUP(D95,'Deflatores Sisp'!G$4:H$38,2,FALSE)*K95+VLOOKUP(D95,'Deflatores Sisp'!G$4:I$38,3,FALSE)))*W95,"")</f>
        <v>0.35000000000000003</v>
      </c>
      <c r="P95" s="120"/>
      <c r="Q95" s="68"/>
      <c r="R95" s="68"/>
      <c r="S95" s="68"/>
      <c r="T95" s="68" t="s">
        <v>59</v>
      </c>
      <c r="U95" s="68"/>
      <c r="V95" s="121"/>
      <c r="W95" s="121">
        <f t="shared" si="125"/>
        <v>0.05</v>
      </c>
      <c r="X95" s="118"/>
      <c r="Y95" s="4"/>
      <c r="Z95" s="73">
        <f t="shared" si="140"/>
        <v>0</v>
      </c>
      <c r="AA95" s="73">
        <f t="shared" si="111"/>
        <v>0</v>
      </c>
      <c r="AB95" s="73">
        <f t="shared" si="112"/>
        <v>0</v>
      </c>
      <c r="AC95" s="73">
        <f t="shared" si="113"/>
        <v>0</v>
      </c>
      <c r="AD95" s="73">
        <f t="shared" si="114"/>
        <v>0.05</v>
      </c>
      <c r="AE95" s="73">
        <f t="shared" si="147"/>
        <v>0</v>
      </c>
    </row>
    <row r="96" spans="1:31" ht="33" customHeight="1">
      <c r="A96" s="158" t="s">
        <v>667</v>
      </c>
      <c r="B96" s="162" t="s">
        <v>470</v>
      </c>
      <c r="C96" s="159" t="s">
        <v>65</v>
      </c>
      <c r="D96" s="154" t="s">
        <v>66</v>
      </c>
      <c r="E96" s="155">
        <v>12</v>
      </c>
      <c r="F96" s="157" t="s">
        <v>471</v>
      </c>
      <c r="G96" s="156">
        <v>2</v>
      </c>
      <c r="H96" s="157" t="s">
        <v>472</v>
      </c>
      <c r="I96" s="79" t="str">
        <f t="shared" si="141"/>
        <v>Baixa</v>
      </c>
      <c r="J96" s="66" t="str">
        <f t="shared" si="142"/>
        <v>ALIL</v>
      </c>
      <c r="K96" s="67">
        <f t="shared" si="143"/>
        <v>7</v>
      </c>
      <c r="L96" s="70" t="str">
        <f t="shared" si="144"/>
        <v>L</v>
      </c>
      <c r="M96" s="69" t="str">
        <f t="shared" si="145"/>
        <v>ALII</v>
      </c>
      <c r="N96" s="71">
        <f t="shared" si="146"/>
        <v>7</v>
      </c>
      <c r="O96" s="78">
        <f>IFERROR(IF(NOT(ISERROR(VLOOKUP(C96,'Deflatores Sisp'!G$42:H$70,2,FALSE))),VLOOKUP(C96,'Deflatores Sisp'!G$42:H$70,2,FALSE),IF(OR(ISBLANK(D96),ISBLANK(C96)),"",VLOOKUP(D96,'Deflatores Sisp'!G$4:H$38,2,FALSE)*K96+VLOOKUP(D96,'Deflatores Sisp'!G$4:I$38,3,FALSE)))*W96,"")</f>
        <v>0.35000000000000003</v>
      </c>
      <c r="P96" s="120"/>
      <c r="Q96" s="68"/>
      <c r="R96" s="68"/>
      <c r="S96" s="68"/>
      <c r="T96" s="68" t="s">
        <v>59</v>
      </c>
      <c r="U96" s="68"/>
      <c r="V96" s="121"/>
      <c r="W96" s="121">
        <f t="shared" si="125"/>
        <v>0.05</v>
      </c>
      <c r="X96" s="118"/>
      <c r="Y96" s="4"/>
      <c r="Z96" s="73">
        <f t="shared" si="140"/>
        <v>0</v>
      </c>
      <c r="AA96" s="73">
        <f t="shared" si="111"/>
        <v>0</v>
      </c>
      <c r="AB96" s="73">
        <f t="shared" si="112"/>
        <v>0</v>
      </c>
      <c r="AC96" s="73">
        <f t="shared" si="113"/>
        <v>0</v>
      </c>
      <c r="AD96" s="73">
        <f t="shared" si="114"/>
        <v>0.05</v>
      </c>
      <c r="AE96" s="73">
        <f t="shared" si="147"/>
        <v>0</v>
      </c>
    </row>
    <row r="97" spans="1:31" ht="33" customHeight="1">
      <c r="A97" s="158" t="s">
        <v>667</v>
      </c>
      <c r="B97" s="162" t="s">
        <v>473</v>
      </c>
      <c r="C97" s="159" t="s">
        <v>65</v>
      </c>
      <c r="D97" s="154" t="s">
        <v>66</v>
      </c>
      <c r="E97" s="155">
        <v>18</v>
      </c>
      <c r="F97" s="157" t="s">
        <v>474</v>
      </c>
      <c r="G97" s="156">
        <v>5</v>
      </c>
      <c r="H97" s="157" t="s">
        <v>475</v>
      </c>
      <c r="I97" s="79" t="str">
        <f t="shared" si="141"/>
        <v>Baixa</v>
      </c>
      <c r="J97" s="66" t="str">
        <f t="shared" si="142"/>
        <v>ALIL</v>
      </c>
      <c r="K97" s="67">
        <f t="shared" si="143"/>
        <v>7</v>
      </c>
      <c r="L97" s="70" t="str">
        <f t="shared" si="144"/>
        <v>L</v>
      </c>
      <c r="M97" s="69" t="str">
        <f t="shared" si="145"/>
        <v>ALII</v>
      </c>
      <c r="N97" s="71">
        <f t="shared" si="146"/>
        <v>7</v>
      </c>
      <c r="O97" s="78">
        <f>IFERROR(IF(NOT(ISERROR(VLOOKUP(C97,'Deflatores Sisp'!G$42:H$70,2,FALSE))),VLOOKUP(C97,'Deflatores Sisp'!G$42:H$70,2,FALSE),IF(OR(ISBLANK(D97),ISBLANK(C97)),"",VLOOKUP(D97,'Deflatores Sisp'!G$4:H$38,2,FALSE)*K97+VLOOKUP(D97,'Deflatores Sisp'!G$4:I$38,3,FALSE)))*W97,"")</f>
        <v>0.35000000000000003</v>
      </c>
      <c r="P97" s="120"/>
      <c r="Q97" s="68"/>
      <c r="R97" s="68"/>
      <c r="S97" s="68"/>
      <c r="T97" s="68" t="s">
        <v>59</v>
      </c>
      <c r="U97" s="68"/>
      <c r="V97" s="121"/>
      <c r="W97" s="121">
        <f t="shared" si="125"/>
        <v>0.05</v>
      </c>
      <c r="X97" s="118"/>
      <c r="Y97" s="4"/>
      <c r="Z97" s="73">
        <f t="shared" si="140"/>
        <v>0</v>
      </c>
      <c r="AA97" s="73">
        <f t="shared" si="111"/>
        <v>0</v>
      </c>
      <c r="AB97" s="73">
        <f t="shared" si="112"/>
        <v>0</v>
      </c>
      <c r="AC97" s="73">
        <f t="shared" si="113"/>
        <v>0</v>
      </c>
      <c r="AD97" s="73">
        <f t="shared" si="114"/>
        <v>0.05</v>
      </c>
      <c r="AE97" s="73">
        <f t="shared" si="147"/>
        <v>0</v>
      </c>
    </row>
    <row r="98" spans="1:31" ht="33" customHeight="1">
      <c r="A98" s="158" t="s">
        <v>667</v>
      </c>
      <c r="B98" s="162" t="s">
        <v>476</v>
      </c>
      <c r="C98" s="159" t="s">
        <v>170</v>
      </c>
      <c r="D98" s="154" t="s">
        <v>66</v>
      </c>
      <c r="E98" s="155">
        <v>10</v>
      </c>
      <c r="F98" s="157" t="s">
        <v>477</v>
      </c>
      <c r="G98" s="156">
        <v>2</v>
      </c>
      <c r="H98" s="157" t="s">
        <v>478</v>
      </c>
      <c r="I98" s="79" t="str">
        <f t="shared" si="141"/>
        <v>Baixa</v>
      </c>
      <c r="J98" s="66" t="str">
        <f t="shared" si="142"/>
        <v>AIEL</v>
      </c>
      <c r="K98" s="67">
        <f t="shared" si="143"/>
        <v>5</v>
      </c>
      <c r="L98" s="70" t="str">
        <f t="shared" si="144"/>
        <v>L</v>
      </c>
      <c r="M98" s="69" t="str">
        <f t="shared" si="145"/>
        <v>AIEI</v>
      </c>
      <c r="N98" s="71">
        <f t="shared" si="146"/>
        <v>5</v>
      </c>
      <c r="O98" s="78">
        <f>IFERROR(IF(NOT(ISERROR(VLOOKUP(C98,'Deflatores Sisp'!G$42:H$70,2,FALSE))),VLOOKUP(C98,'Deflatores Sisp'!G$42:H$70,2,FALSE),IF(OR(ISBLANK(D98),ISBLANK(C98)),"",VLOOKUP(D98,'Deflatores Sisp'!G$4:H$38,2,FALSE)*K98+VLOOKUP(D98,'Deflatores Sisp'!G$4:I$38,3,FALSE)))*W98,"")</f>
        <v>0.25</v>
      </c>
      <c r="P98" s="120"/>
      <c r="Q98" s="68"/>
      <c r="R98" s="68"/>
      <c r="S98" s="68"/>
      <c r="T98" s="68" t="s">
        <v>59</v>
      </c>
      <c r="U98" s="68"/>
      <c r="V98" s="121"/>
      <c r="W98" s="121">
        <f t="shared" si="125"/>
        <v>0.05</v>
      </c>
      <c r="X98" s="118"/>
      <c r="Y98" s="4"/>
      <c r="Z98" s="73">
        <f t="shared" si="140"/>
        <v>0</v>
      </c>
      <c r="AA98" s="73">
        <f t="shared" si="111"/>
        <v>0</v>
      </c>
      <c r="AB98" s="73">
        <f t="shared" si="112"/>
        <v>0</v>
      </c>
      <c r="AC98" s="73">
        <f t="shared" si="113"/>
        <v>0</v>
      </c>
      <c r="AD98" s="73">
        <f t="shared" si="114"/>
        <v>0.05</v>
      </c>
      <c r="AE98" s="73">
        <f t="shared" si="147"/>
        <v>0</v>
      </c>
    </row>
    <row r="99" spans="1:31" ht="33" customHeight="1">
      <c r="A99" s="158" t="s">
        <v>667</v>
      </c>
      <c r="B99" s="162" t="s">
        <v>479</v>
      </c>
      <c r="C99" s="159" t="s">
        <v>170</v>
      </c>
      <c r="D99" s="154" t="s">
        <v>66</v>
      </c>
      <c r="E99" s="155">
        <v>8</v>
      </c>
      <c r="F99" s="157" t="s">
        <v>480</v>
      </c>
      <c r="G99" s="156">
        <v>1</v>
      </c>
      <c r="H99" s="157" t="s">
        <v>481</v>
      </c>
      <c r="I99" s="79" t="str">
        <f t="shared" si="141"/>
        <v>Baixa</v>
      </c>
      <c r="J99" s="66" t="str">
        <f t="shared" si="142"/>
        <v>AIEL</v>
      </c>
      <c r="K99" s="67">
        <f t="shared" si="143"/>
        <v>5</v>
      </c>
      <c r="L99" s="70" t="str">
        <f t="shared" si="144"/>
        <v>L</v>
      </c>
      <c r="M99" s="69" t="str">
        <f t="shared" si="145"/>
        <v>AIEI</v>
      </c>
      <c r="N99" s="71">
        <f t="shared" si="146"/>
        <v>5</v>
      </c>
      <c r="O99" s="78">
        <f>IFERROR(IF(NOT(ISERROR(VLOOKUP(C99,'Deflatores Sisp'!G$42:H$70,2,FALSE))),VLOOKUP(C99,'Deflatores Sisp'!G$42:H$70,2,FALSE),IF(OR(ISBLANK(D99),ISBLANK(C99)),"",VLOOKUP(D99,'Deflatores Sisp'!G$4:H$38,2,FALSE)*K99+VLOOKUP(D99,'Deflatores Sisp'!G$4:I$38,3,FALSE)))*W99,"")</f>
        <v>0.25</v>
      </c>
      <c r="P99" s="120"/>
      <c r="Q99" s="68"/>
      <c r="R99" s="68"/>
      <c r="S99" s="68"/>
      <c r="T99" s="68" t="s">
        <v>59</v>
      </c>
      <c r="U99" s="68"/>
      <c r="V99" s="121"/>
      <c r="W99" s="121">
        <f t="shared" si="125"/>
        <v>0.05</v>
      </c>
      <c r="X99" s="118"/>
      <c r="Y99" s="4"/>
      <c r="Z99" s="73">
        <f t="shared" si="140"/>
        <v>0</v>
      </c>
      <c r="AA99" s="73">
        <f t="shared" si="111"/>
        <v>0</v>
      </c>
      <c r="AB99" s="73">
        <f t="shared" si="112"/>
        <v>0</v>
      </c>
      <c r="AC99" s="73">
        <f t="shared" si="113"/>
        <v>0</v>
      </c>
      <c r="AD99" s="73">
        <f t="shared" si="114"/>
        <v>0.05</v>
      </c>
      <c r="AE99" s="73">
        <f t="shared" si="147"/>
        <v>0</v>
      </c>
    </row>
    <row r="100" spans="1:31" ht="33" customHeight="1">
      <c r="A100" s="158" t="s">
        <v>667</v>
      </c>
      <c r="B100" s="162" t="s">
        <v>482</v>
      </c>
      <c r="C100" s="159" t="s">
        <v>170</v>
      </c>
      <c r="D100" s="154" t="s">
        <v>66</v>
      </c>
      <c r="E100" s="155">
        <v>25</v>
      </c>
      <c r="F100" s="157" t="s">
        <v>483</v>
      </c>
      <c r="G100" s="156">
        <v>4</v>
      </c>
      <c r="H100" s="157" t="s">
        <v>484</v>
      </c>
      <c r="I100" s="79" t="str">
        <f t="shared" si="141"/>
        <v>Média</v>
      </c>
      <c r="J100" s="66" t="str">
        <f t="shared" si="142"/>
        <v>AIEA</v>
      </c>
      <c r="K100" s="67">
        <f t="shared" si="143"/>
        <v>7</v>
      </c>
      <c r="L100" s="70" t="str">
        <f t="shared" si="144"/>
        <v>A</v>
      </c>
      <c r="M100" s="69" t="str">
        <f t="shared" si="145"/>
        <v>AIEI</v>
      </c>
      <c r="N100" s="71">
        <f t="shared" si="146"/>
        <v>7</v>
      </c>
      <c r="O100" s="78">
        <f>IFERROR(IF(NOT(ISERROR(VLOOKUP(C100,'Deflatores Sisp'!G$42:H$70,2,FALSE))),VLOOKUP(C100,'Deflatores Sisp'!G$42:H$70,2,FALSE),IF(OR(ISBLANK(D100),ISBLANK(C100)),"",VLOOKUP(D100,'Deflatores Sisp'!G$4:H$38,2,FALSE)*K100+VLOOKUP(D100,'Deflatores Sisp'!G$4:I$38,3,FALSE)))*W100,"")</f>
        <v>0.35000000000000003</v>
      </c>
      <c r="P100" s="120"/>
      <c r="Q100" s="68"/>
      <c r="R100" s="68"/>
      <c r="S100" s="68"/>
      <c r="T100" s="68" t="s">
        <v>59</v>
      </c>
      <c r="U100" s="68"/>
      <c r="V100" s="121"/>
      <c r="W100" s="121">
        <f t="shared" si="125"/>
        <v>0.05</v>
      </c>
      <c r="X100" s="118"/>
      <c r="Y100" s="4"/>
      <c r="Z100" s="73">
        <f t="shared" si="140"/>
        <v>0</v>
      </c>
      <c r="AA100" s="73">
        <f t="shared" si="111"/>
        <v>0</v>
      </c>
      <c r="AB100" s="73">
        <f t="shared" si="112"/>
        <v>0</v>
      </c>
      <c r="AC100" s="73">
        <f t="shared" si="113"/>
        <v>0</v>
      </c>
      <c r="AD100" s="73">
        <f t="shared" si="114"/>
        <v>0.05</v>
      </c>
      <c r="AE100" s="73">
        <f t="shared" si="147"/>
        <v>0</v>
      </c>
    </row>
    <row r="101" spans="1:31" ht="33" customHeight="1">
      <c r="A101" s="158" t="s">
        <v>667</v>
      </c>
      <c r="B101" s="162" t="s">
        <v>485</v>
      </c>
      <c r="C101" s="159" t="s">
        <v>170</v>
      </c>
      <c r="D101" s="154" t="s">
        <v>66</v>
      </c>
      <c r="E101" s="155">
        <v>15</v>
      </c>
      <c r="F101" s="157" t="s">
        <v>486</v>
      </c>
      <c r="G101" s="156">
        <v>3</v>
      </c>
      <c r="H101" s="157" t="s">
        <v>487</v>
      </c>
      <c r="I101" s="79" t="str">
        <f t="shared" si="141"/>
        <v>Baixa</v>
      </c>
      <c r="J101" s="66" t="str">
        <f t="shared" si="142"/>
        <v>AIEL</v>
      </c>
      <c r="K101" s="67">
        <f t="shared" si="143"/>
        <v>5</v>
      </c>
      <c r="L101" s="70" t="str">
        <f t="shared" si="144"/>
        <v>L</v>
      </c>
      <c r="M101" s="69" t="str">
        <f t="shared" si="145"/>
        <v>AIEI</v>
      </c>
      <c r="N101" s="71">
        <f t="shared" si="146"/>
        <v>5</v>
      </c>
      <c r="O101" s="78">
        <f>IFERROR(IF(NOT(ISERROR(VLOOKUP(C101,'Deflatores Sisp'!G$42:H$70,2,FALSE))),VLOOKUP(C101,'Deflatores Sisp'!G$42:H$70,2,FALSE),IF(OR(ISBLANK(D101),ISBLANK(C101)),"",VLOOKUP(D101,'Deflatores Sisp'!G$4:H$38,2,FALSE)*K101+VLOOKUP(D101,'Deflatores Sisp'!G$4:I$38,3,FALSE)))*W101,"")</f>
        <v>0.25</v>
      </c>
      <c r="P101" s="120"/>
      <c r="Q101" s="68"/>
      <c r="R101" s="68"/>
      <c r="S101" s="68"/>
      <c r="T101" s="68" t="s">
        <v>59</v>
      </c>
      <c r="U101" s="68"/>
      <c r="V101" s="121"/>
      <c r="W101" s="121">
        <f t="shared" si="125"/>
        <v>0.05</v>
      </c>
      <c r="X101" s="118"/>
      <c r="Y101" s="4"/>
      <c r="Z101" s="73">
        <f t="shared" si="140"/>
        <v>0</v>
      </c>
      <c r="AA101" s="73">
        <f t="shared" si="111"/>
        <v>0</v>
      </c>
      <c r="AB101" s="73">
        <f t="shared" si="112"/>
        <v>0</v>
      </c>
      <c r="AC101" s="73">
        <f t="shared" si="113"/>
        <v>0</v>
      </c>
      <c r="AD101" s="73">
        <f t="shared" si="114"/>
        <v>0.05</v>
      </c>
      <c r="AE101" s="73">
        <f t="shared" si="147"/>
        <v>0</v>
      </c>
    </row>
    <row r="102" spans="1:31" ht="33" customHeight="1">
      <c r="A102" s="158" t="s">
        <v>667</v>
      </c>
      <c r="B102" s="162" t="s">
        <v>488</v>
      </c>
      <c r="C102" s="159" t="s">
        <v>170</v>
      </c>
      <c r="D102" s="154" t="s">
        <v>66</v>
      </c>
      <c r="E102" s="155">
        <v>12</v>
      </c>
      <c r="F102" s="157" t="s">
        <v>489</v>
      </c>
      <c r="G102" s="156">
        <v>2</v>
      </c>
      <c r="H102" s="157" t="s">
        <v>490</v>
      </c>
      <c r="I102" s="79" t="str">
        <f t="shared" ref="I102" si="148">IF(ISBLANK(C102),"",IF(L102="L","Baixa",IF(L102="A","Média",IF(L102="","","Alta"))))</f>
        <v>Baixa</v>
      </c>
      <c r="J102" s="66" t="str">
        <f t="shared" ref="J102" si="149">CONCATENATE(C102,L102)</f>
        <v>AIEL</v>
      </c>
      <c r="K102" s="67">
        <f t="shared" ref="K102" si="150">IF(ISBLANK(C102),"",IF(C102="ALI",IF(L102="L",7,IF(L102="A",10,15)),IF(C102="AIE",IF(L102="L",5,IF(L102="A",7,10)),IF(C102="SE",IF(L102="L",4,IF(L102="A",5,7)),IF(OR(C102="EE",C102="CE"),IF(L102="L",3,IF(L102="A",4,6)),0)))))</f>
        <v>5</v>
      </c>
      <c r="L102" s="70" t="str">
        <f t="shared" ref="L102" si="151">IF(OR(ISBLANK(E102),ISBLANK(G102)),IF(OR(C102="ALI",C102="AIE"),"L",IF(OR(C102="EE",C102="SE",C102="CE"),"A","")),IF(C102="EE",IF(G102&gt;=3,IF(E102&gt;=5,"H","A"),IF(G102&gt;=2,IF(E102&gt;=16,"H",IF(E102&lt;=4,"L","A")),IF(E102&lt;=15,"L","A"))),IF(OR(C102="SE",C102="CE"),IF(G102&gt;=4,IF(E102&gt;=6,"H","A"),IF(G102&gt;=2,IF(E102&gt;=20,"H",IF(E102&lt;=5,"L","A")),IF(E102&lt;=19,"L","A"))),IF(OR(C102="ALI",C102="AIE"),IF(G102&gt;=6,IF(E102&gt;=20,"H","A"),IF(G102&gt;=2,IF(E102&gt;=51,"H",IF(E102&lt;=19,"L","A")),IF(E102&lt;=50,"L","A"))),""))))</f>
        <v>L</v>
      </c>
      <c r="M102" s="69" t="str">
        <f t="shared" ref="M102" si="152">CONCATENATE(C102,D102)</f>
        <v>AIEI</v>
      </c>
      <c r="N102" s="71">
        <f t="shared" ref="N102" si="153">IF(OR(K102="",K102=0),O102,K102)</f>
        <v>5</v>
      </c>
      <c r="O102" s="78">
        <f>IFERROR(IF(NOT(ISERROR(VLOOKUP(C102,'Deflatores Sisp'!G$42:H$70,2,FALSE))),VLOOKUP(C102,'Deflatores Sisp'!G$42:H$70,2,FALSE),IF(OR(ISBLANK(D102),ISBLANK(C102)),"",VLOOKUP(D102,'Deflatores Sisp'!G$4:H$38,2,FALSE)*K102+VLOOKUP(D102,'Deflatores Sisp'!G$4:I$38,3,FALSE)))*W102,"")</f>
        <v>0.25</v>
      </c>
      <c r="P102" s="120"/>
      <c r="Q102" s="68"/>
      <c r="R102" s="68"/>
      <c r="S102" s="68"/>
      <c r="T102" s="68" t="s">
        <v>59</v>
      </c>
      <c r="U102" s="68"/>
      <c r="V102" s="121"/>
      <c r="W102" s="121">
        <f t="shared" si="125"/>
        <v>0.05</v>
      </c>
      <c r="X102" s="118"/>
      <c r="Y102" s="4"/>
      <c r="Z102" s="73">
        <f t="shared" si="140"/>
        <v>0</v>
      </c>
      <c r="AA102" s="73">
        <f t="shared" si="111"/>
        <v>0</v>
      </c>
      <c r="AB102" s="73">
        <f t="shared" si="112"/>
        <v>0</v>
      </c>
      <c r="AC102" s="73">
        <f t="shared" si="113"/>
        <v>0</v>
      </c>
      <c r="AD102" s="73">
        <f t="shared" si="114"/>
        <v>0.05</v>
      </c>
      <c r="AE102" s="73">
        <f t="shared" ref="AE102" si="154">IF(U102="x",5%,0)</f>
        <v>0</v>
      </c>
    </row>
    <row r="103" spans="1:31" ht="33" customHeight="1">
      <c r="A103" s="158" t="s">
        <v>667</v>
      </c>
      <c r="B103" s="162" t="s">
        <v>491</v>
      </c>
      <c r="C103" s="159" t="s">
        <v>170</v>
      </c>
      <c r="D103" s="154" t="s">
        <v>66</v>
      </c>
      <c r="E103" s="155">
        <v>20</v>
      </c>
      <c r="F103" s="157" t="s">
        <v>492</v>
      </c>
      <c r="G103" s="156">
        <v>3</v>
      </c>
      <c r="H103" s="157" t="s">
        <v>493</v>
      </c>
      <c r="I103" s="79" t="str">
        <f t="shared" ref="I103" si="155">IF(ISBLANK(C103),"",IF(L103="L","Baixa",IF(L103="A","Média",IF(L103="","","Alta"))))</f>
        <v>Média</v>
      </c>
      <c r="J103" s="66" t="str">
        <f t="shared" ref="J103" si="156">CONCATENATE(C103,L103)</f>
        <v>AIEA</v>
      </c>
      <c r="K103" s="67">
        <f t="shared" ref="K103" si="157">IF(ISBLANK(C103),"",IF(C103="ALI",IF(L103="L",7,IF(L103="A",10,15)),IF(C103="AIE",IF(L103="L",5,IF(L103="A",7,10)),IF(C103="SE",IF(L103="L",4,IF(L103="A",5,7)),IF(OR(C103="EE",C103="CE"),IF(L103="L",3,IF(L103="A",4,6)),0)))))</f>
        <v>7</v>
      </c>
      <c r="L103" s="70" t="str">
        <f t="shared" ref="L103" si="158">IF(OR(ISBLANK(E103),ISBLANK(G103)),IF(OR(C103="ALI",C103="AIE"),"L",IF(OR(C103="EE",C103="SE",C103="CE"),"A","")),IF(C103="EE",IF(G103&gt;=3,IF(E103&gt;=5,"H","A"),IF(G103&gt;=2,IF(E103&gt;=16,"H",IF(E103&lt;=4,"L","A")),IF(E103&lt;=15,"L","A"))),IF(OR(C103="SE",C103="CE"),IF(G103&gt;=4,IF(E103&gt;=6,"H","A"),IF(G103&gt;=2,IF(E103&gt;=20,"H",IF(E103&lt;=5,"L","A")),IF(E103&lt;=19,"L","A"))),IF(OR(C103="ALI",C103="AIE"),IF(G103&gt;=6,IF(E103&gt;=20,"H","A"),IF(G103&gt;=2,IF(E103&gt;=51,"H",IF(E103&lt;=19,"L","A")),IF(E103&lt;=50,"L","A"))),""))))</f>
        <v>A</v>
      </c>
      <c r="M103" s="69" t="str">
        <f t="shared" ref="M103" si="159">CONCATENATE(C103,D103)</f>
        <v>AIEI</v>
      </c>
      <c r="N103" s="71">
        <f t="shared" ref="N103" si="160">IF(OR(K103="",K103=0),O103,K103)</f>
        <v>7</v>
      </c>
      <c r="O103" s="78">
        <f>IFERROR(IF(NOT(ISERROR(VLOOKUP(C103,'Deflatores Sisp'!G$42:H$70,2,FALSE))),VLOOKUP(C103,'Deflatores Sisp'!G$42:H$70,2,FALSE),IF(OR(ISBLANK(D103),ISBLANK(C103)),"",VLOOKUP(D103,'Deflatores Sisp'!G$4:H$38,2,FALSE)*K103+VLOOKUP(D103,'Deflatores Sisp'!G$4:I$38,3,FALSE)))*W103,"")</f>
        <v>0.35000000000000003</v>
      </c>
      <c r="P103" s="120"/>
      <c r="Q103" s="68"/>
      <c r="R103" s="68"/>
      <c r="S103" s="68"/>
      <c r="T103" s="68" t="s">
        <v>59</v>
      </c>
      <c r="U103" s="68"/>
      <c r="V103" s="121"/>
      <c r="W103" s="121">
        <f t="shared" si="125"/>
        <v>0.05</v>
      </c>
      <c r="X103" s="118"/>
      <c r="Y103" s="4"/>
      <c r="Z103" s="73">
        <f t="shared" si="140"/>
        <v>0</v>
      </c>
      <c r="AA103" s="73">
        <f t="shared" si="111"/>
        <v>0</v>
      </c>
      <c r="AB103" s="73">
        <f t="shared" si="112"/>
        <v>0</v>
      </c>
      <c r="AC103" s="73">
        <f t="shared" si="113"/>
        <v>0</v>
      </c>
      <c r="AD103" s="73">
        <f t="shared" si="114"/>
        <v>0.05</v>
      </c>
      <c r="AE103" s="73">
        <f t="shared" ref="AE103" si="161">IF(U103="x",5%,0)</f>
        <v>0</v>
      </c>
    </row>
    <row r="104" spans="1:31" ht="33" customHeight="1">
      <c r="A104" s="158" t="s">
        <v>667</v>
      </c>
      <c r="B104" s="162" t="s">
        <v>494</v>
      </c>
      <c r="C104" s="159" t="s">
        <v>60</v>
      </c>
      <c r="D104" s="154" t="s">
        <v>66</v>
      </c>
      <c r="E104" s="155">
        <v>30</v>
      </c>
      <c r="F104" s="157" t="s">
        <v>495</v>
      </c>
      <c r="G104" s="156">
        <v>3</v>
      </c>
      <c r="H104" s="157" t="s">
        <v>496</v>
      </c>
      <c r="I104" s="79" t="str">
        <f t="shared" si="39"/>
        <v>Alta</v>
      </c>
      <c r="J104" s="66" t="str">
        <f t="shared" si="99"/>
        <v>EEH</v>
      </c>
      <c r="K104" s="67">
        <f t="shared" si="40"/>
        <v>6</v>
      </c>
      <c r="L104" s="70" t="str">
        <f t="shared" si="100"/>
        <v>H</v>
      </c>
      <c r="M104" s="69" t="str">
        <f t="shared" si="106"/>
        <v>EEI</v>
      </c>
      <c r="N104" s="71">
        <f t="shared" si="77"/>
        <v>6</v>
      </c>
      <c r="O104" s="78">
        <f>IFERROR(IF(NOT(ISERROR(VLOOKUP(C104,'Deflatores Sisp'!G$42:H$70,2,FALSE))),VLOOKUP(C104,'Deflatores Sisp'!G$42:H$70,2,FALSE),IF(OR(ISBLANK(D104),ISBLANK(C104)),"",VLOOKUP(D104,'Deflatores Sisp'!G$4:H$38,2,FALSE)*K104+VLOOKUP(D104,'Deflatores Sisp'!G$4:I$38,3,FALSE)))*W104,"")</f>
        <v>0.30000000000000004</v>
      </c>
      <c r="P104" s="120"/>
      <c r="Q104" s="68"/>
      <c r="R104" s="68"/>
      <c r="S104" s="68"/>
      <c r="T104" s="68" t="s">
        <v>59</v>
      </c>
      <c r="U104" s="68"/>
      <c r="V104" s="121"/>
      <c r="W104" s="121">
        <f t="shared" si="125"/>
        <v>0.05</v>
      </c>
      <c r="X104" s="119"/>
      <c r="Y104" s="4"/>
      <c r="Z104" s="73">
        <f t="shared" si="140"/>
        <v>0</v>
      </c>
      <c r="AA104" s="73">
        <f t="shared" si="111"/>
        <v>0</v>
      </c>
      <c r="AB104" s="73">
        <f t="shared" si="112"/>
        <v>0</v>
      </c>
      <c r="AC104" s="73">
        <f t="shared" si="113"/>
        <v>0</v>
      </c>
      <c r="AD104" s="73">
        <f t="shared" si="114"/>
        <v>0.05</v>
      </c>
      <c r="AE104" s="73">
        <f t="shared" si="12"/>
        <v>0</v>
      </c>
    </row>
    <row r="105" spans="1:31" ht="33" customHeight="1">
      <c r="A105" s="158" t="s">
        <v>667</v>
      </c>
      <c r="B105" s="162" t="s">
        <v>497</v>
      </c>
      <c r="C105" s="159" t="s">
        <v>60</v>
      </c>
      <c r="D105" s="154" t="s">
        <v>66</v>
      </c>
      <c r="E105" s="155">
        <v>22</v>
      </c>
      <c r="F105" s="157" t="s">
        <v>498</v>
      </c>
      <c r="G105" s="156">
        <v>2</v>
      </c>
      <c r="H105" s="157" t="s">
        <v>499</v>
      </c>
      <c r="I105" s="79" t="str">
        <f t="shared" si="39"/>
        <v>Alta</v>
      </c>
      <c r="J105" s="66" t="str">
        <f t="shared" si="99"/>
        <v>EEH</v>
      </c>
      <c r="K105" s="67">
        <f t="shared" si="40"/>
        <v>6</v>
      </c>
      <c r="L105" s="70" t="str">
        <f t="shared" si="100"/>
        <v>H</v>
      </c>
      <c r="M105" s="69" t="str">
        <f t="shared" si="106"/>
        <v>EEI</v>
      </c>
      <c r="N105" s="71">
        <f t="shared" si="77"/>
        <v>6</v>
      </c>
      <c r="O105" s="78">
        <f>IFERROR(IF(NOT(ISERROR(VLOOKUP(C105,'Deflatores Sisp'!G$42:H$70,2,FALSE))),VLOOKUP(C105,'Deflatores Sisp'!G$42:H$70,2,FALSE),IF(OR(ISBLANK(D105),ISBLANK(C105)),"",VLOOKUP(D105,'Deflatores Sisp'!G$4:H$38,2,FALSE)*K105+VLOOKUP(D105,'Deflatores Sisp'!G$4:I$38,3,FALSE)))*W105,"")</f>
        <v>0.30000000000000004</v>
      </c>
      <c r="P105" s="120"/>
      <c r="Q105" s="68"/>
      <c r="R105" s="68"/>
      <c r="S105" s="68"/>
      <c r="T105" s="68" t="s">
        <v>59</v>
      </c>
      <c r="U105" s="68"/>
      <c r="V105" s="121"/>
      <c r="W105" s="121">
        <f t="shared" si="125"/>
        <v>0.05</v>
      </c>
      <c r="X105" s="119"/>
      <c r="Y105" s="4"/>
      <c r="Z105" s="73">
        <f t="shared" si="140"/>
        <v>0</v>
      </c>
      <c r="AA105" s="73">
        <f t="shared" si="111"/>
        <v>0</v>
      </c>
      <c r="AB105" s="73">
        <f t="shared" si="112"/>
        <v>0</v>
      </c>
      <c r="AC105" s="73">
        <f t="shared" si="113"/>
        <v>0</v>
      </c>
      <c r="AD105" s="73">
        <f t="shared" si="114"/>
        <v>0.05</v>
      </c>
      <c r="AE105" s="73">
        <f t="shared" si="12"/>
        <v>0</v>
      </c>
    </row>
    <row r="106" spans="1:31" ht="33" customHeight="1">
      <c r="A106" s="158" t="s">
        <v>667</v>
      </c>
      <c r="B106" s="162" t="s">
        <v>500</v>
      </c>
      <c r="C106" s="159" t="s">
        <v>60</v>
      </c>
      <c r="D106" s="154" t="s">
        <v>66</v>
      </c>
      <c r="E106" s="155">
        <v>4</v>
      </c>
      <c r="F106" s="157" t="s">
        <v>501</v>
      </c>
      <c r="G106" s="156">
        <v>2</v>
      </c>
      <c r="H106" s="157" t="s">
        <v>502</v>
      </c>
      <c r="I106" s="79" t="str">
        <f t="shared" si="39"/>
        <v>Baixa</v>
      </c>
      <c r="J106" s="66" t="str">
        <f t="shared" si="99"/>
        <v>EEL</v>
      </c>
      <c r="K106" s="67">
        <f t="shared" si="40"/>
        <v>3</v>
      </c>
      <c r="L106" s="70" t="str">
        <f t="shared" si="100"/>
        <v>L</v>
      </c>
      <c r="M106" s="69" t="str">
        <f t="shared" si="106"/>
        <v>EEI</v>
      </c>
      <c r="N106" s="71">
        <f t="shared" si="77"/>
        <v>3</v>
      </c>
      <c r="O106" s="78">
        <f>IFERROR(IF(NOT(ISERROR(VLOOKUP(C106,'Deflatores Sisp'!G$42:H$70,2,FALSE))),VLOOKUP(C106,'Deflatores Sisp'!G$42:H$70,2,FALSE),IF(OR(ISBLANK(D106),ISBLANK(C106)),"",VLOOKUP(D106,'Deflatores Sisp'!G$4:H$38,2,FALSE)*K106+VLOOKUP(D106,'Deflatores Sisp'!G$4:I$38,3,FALSE)))*W106,"")</f>
        <v>0.15000000000000002</v>
      </c>
      <c r="P106" s="120"/>
      <c r="Q106" s="68"/>
      <c r="R106" s="68"/>
      <c r="S106" s="68"/>
      <c r="T106" s="68" t="s">
        <v>59</v>
      </c>
      <c r="U106" s="68"/>
      <c r="V106" s="121"/>
      <c r="W106" s="121">
        <f t="shared" si="125"/>
        <v>0.05</v>
      </c>
      <c r="X106" s="119"/>
      <c r="Y106" s="4"/>
      <c r="Z106" s="73">
        <f t="shared" si="140"/>
        <v>0</v>
      </c>
      <c r="AA106" s="73">
        <f>IF(Q106="x",10%,0)</f>
        <v>0</v>
      </c>
      <c r="AB106" s="73">
        <f>IF(R106="x",40%,0)</f>
        <v>0</v>
      </c>
      <c r="AC106" s="73">
        <f>IF(S106="x",15%,0)</f>
        <v>0</v>
      </c>
      <c r="AD106" s="73">
        <f>IF(T106="x",5%,0)</f>
        <v>0.05</v>
      </c>
      <c r="AE106" s="73">
        <f t="shared" si="12"/>
        <v>0</v>
      </c>
    </row>
    <row r="107" spans="1:31" ht="33" customHeight="1">
      <c r="A107" s="158" t="s">
        <v>667</v>
      </c>
      <c r="B107" s="162" t="s">
        <v>503</v>
      </c>
      <c r="C107" s="159" t="s">
        <v>60</v>
      </c>
      <c r="D107" s="154" t="s">
        <v>66</v>
      </c>
      <c r="E107" s="155">
        <v>10</v>
      </c>
      <c r="F107" s="157" t="s">
        <v>504</v>
      </c>
      <c r="G107" s="156">
        <v>3</v>
      </c>
      <c r="H107" s="157" t="s">
        <v>505</v>
      </c>
      <c r="I107" s="79" t="str">
        <f t="shared" si="39"/>
        <v>Alta</v>
      </c>
      <c r="J107" s="66" t="str">
        <f t="shared" si="99"/>
        <v>EEH</v>
      </c>
      <c r="K107" s="67">
        <f t="shared" si="40"/>
        <v>6</v>
      </c>
      <c r="L107" s="70" t="str">
        <f t="shared" si="100"/>
        <v>H</v>
      </c>
      <c r="M107" s="69" t="str">
        <f t="shared" si="106"/>
        <v>EEI</v>
      </c>
      <c r="N107" s="71">
        <f t="shared" si="77"/>
        <v>6</v>
      </c>
      <c r="O107" s="78">
        <f>IFERROR(IF(NOT(ISERROR(VLOOKUP(C107,'Deflatores Sisp'!G$42:H$70,2,FALSE))),VLOOKUP(C107,'Deflatores Sisp'!G$42:H$70,2,FALSE),IF(OR(ISBLANK(D107),ISBLANK(C107)),"",VLOOKUP(D107,'Deflatores Sisp'!G$4:H$38,2,FALSE)*K107+VLOOKUP(D107,'Deflatores Sisp'!G$4:I$38,3,FALSE)))*W107,"")</f>
        <v>0.30000000000000004</v>
      </c>
      <c r="P107" s="120"/>
      <c r="Q107" s="68"/>
      <c r="R107" s="68"/>
      <c r="S107" s="68"/>
      <c r="T107" s="68" t="s">
        <v>59</v>
      </c>
      <c r="U107" s="68"/>
      <c r="V107" s="121"/>
      <c r="W107" s="121">
        <f t="shared" si="125"/>
        <v>0.05</v>
      </c>
      <c r="X107" s="118"/>
      <c r="Y107" s="4"/>
      <c r="Z107" s="73">
        <f t="shared" si="140"/>
        <v>0</v>
      </c>
      <c r="AA107" s="73">
        <f>IF(Q107="x",10%,0)</f>
        <v>0</v>
      </c>
      <c r="AB107" s="73">
        <f>IF(R107="x",40%,0)</f>
        <v>0</v>
      </c>
      <c r="AC107" s="73">
        <f>IF(S107="x",15%,0)</f>
        <v>0</v>
      </c>
      <c r="AD107" s="73">
        <f>IF(T107="x",5%,0)</f>
        <v>0.05</v>
      </c>
      <c r="AE107" s="73">
        <f t="shared" ref="AE107:AE108" si="162">IF(U107="x",5%,0)</f>
        <v>0</v>
      </c>
    </row>
    <row r="108" spans="1:31" ht="33" customHeight="1">
      <c r="A108" s="158" t="s">
        <v>667</v>
      </c>
      <c r="B108" s="162" t="s">
        <v>506</v>
      </c>
      <c r="C108" s="159" t="s">
        <v>60</v>
      </c>
      <c r="D108" s="154" t="s">
        <v>66</v>
      </c>
      <c r="E108" s="155">
        <v>6</v>
      </c>
      <c r="F108" s="157" t="s">
        <v>507</v>
      </c>
      <c r="G108" s="156">
        <v>1</v>
      </c>
      <c r="H108" s="157" t="s">
        <v>508</v>
      </c>
      <c r="I108" s="79" t="str">
        <f t="shared" si="39"/>
        <v>Baixa</v>
      </c>
      <c r="J108" s="66" t="str">
        <f t="shared" si="99"/>
        <v>EEL</v>
      </c>
      <c r="K108" s="67">
        <f t="shared" si="40"/>
        <v>3</v>
      </c>
      <c r="L108" s="70" t="str">
        <f t="shared" si="100"/>
        <v>L</v>
      </c>
      <c r="M108" s="69" t="str">
        <f t="shared" si="106"/>
        <v>EEI</v>
      </c>
      <c r="N108" s="71">
        <f t="shared" si="77"/>
        <v>3</v>
      </c>
      <c r="O108" s="78">
        <f>IFERROR(IF(NOT(ISERROR(VLOOKUP(C108,'Deflatores Sisp'!G$42:H$70,2,FALSE))),VLOOKUP(C108,'Deflatores Sisp'!G$42:H$70,2,FALSE),IF(OR(ISBLANK(D108),ISBLANK(C108)),"",VLOOKUP(D108,'Deflatores Sisp'!G$4:H$38,2,FALSE)*K108+VLOOKUP(D108,'Deflatores Sisp'!G$4:I$38,3,FALSE)))*W108,"")</f>
        <v>0.15000000000000002</v>
      </c>
      <c r="P108" s="120"/>
      <c r="Q108" s="68"/>
      <c r="R108" s="68"/>
      <c r="S108" s="68"/>
      <c r="T108" s="68" t="s">
        <v>59</v>
      </c>
      <c r="U108" s="68"/>
      <c r="V108" s="121"/>
      <c r="W108" s="121">
        <f t="shared" si="125"/>
        <v>0.05</v>
      </c>
      <c r="X108" s="118"/>
      <c r="Y108" s="4"/>
      <c r="Z108" s="73">
        <f t="shared" si="140"/>
        <v>0</v>
      </c>
      <c r="AA108" s="73">
        <f t="shared" ref="AA108:AA122" si="163">IF(Q108="x",10%,0)</f>
        <v>0</v>
      </c>
      <c r="AB108" s="73">
        <f t="shared" ref="AB108:AB122" si="164">IF(R108="x",40%,0)</f>
        <v>0</v>
      </c>
      <c r="AC108" s="73">
        <f t="shared" ref="AC108:AC122" si="165">IF(S108="x",15%,0)</f>
        <v>0</v>
      </c>
      <c r="AD108" s="73">
        <f t="shared" ref="AD108:AD122" si="166">IF(T108="x",5%,0)</f>
        <v>0.05</v>
      </c>
      <c r="AE108" s="73">
        <f t="shared" si="162"/>
        <v>0</v>
      </c>
    </row>
    <row r="109" spans="1:31" ht="33" customHeight="1">
      <c r="A109" s="158" t="s">
        <v>667</v>
      </c>
      <c r="B109" s="162" t="s">
        <v>509</v>
      </c>
      <c r="C109" s="159" t="s">
        <v>60</v>
      </c>
      <c r="D109" s="154" t="s">
        <v>66</v>
      </c>
      <c r="E109" s="155">
        <v>8</v>
      </c>
      <c r="F109" s="157" t="s">
        <v>510</v>
      </c>
      <c r="G109" s="156">
        <v>1</v>
      </c>
      <c r="H109" s="157" t="s">
        <v>511</v>
      </c>
      <c r="I109" s="79" t="str">
        <f t="shared" ref="I109:I126" si="167">IF(ISBLANK(C109),"",IF(L109="L","Baixa",IF(L109="A","Média",IF(L109="","","Alta"))))</f>
        <v>Baixa</v>
      </c>
      <c r="J109" s="66" t="str">
        <f t="shared" si="99"/>
        <v>EEL</v>
      </c>
      <c r="K109" s="67">
        <f t="shared" ref="K109:K126" si="168">IF(ISBLANK(C109),"",IF(C109="ALI",IF(L109="L",7,IF(L109="A",10,15)),IF(C109="AIE",IF(L109="L",5,IF(L109="A",7,10)),IF(C109="SE",IF(L109="L",4,IF(L109="A",5,7)),IF(OR(C109="EE",C109="CE"),IF(L109="L",3,IF(L109="A",4,6)),0)))))</f>
        <v>3</v>
      </c>
      <c r="L109" s="70" t="str">
        <f t="shared" si="100"/>
        <v>L</v>
      </c>
      <c r="M109" s="69" t="str">
        <f t="shared" si="106"/>
        <v>EEI</v>
      </c>
      <c r="N109" s="71">
        <f t="shared" si="77"/>
        <v>3</v>
      </c>
      <c r="O109" s="78">
        <f>IFERROR(IF(NOT(ISERROR(VLOOKUP(C109,'Deflatores Sisp'!G$42:H$70,2,FALSE))),VLOOKUP(C109,'Deflatores Sisp'!G$42:H$70,2,FALSE),IF(OR(ISBLANK(D109),ISBLANK(C109)),"",VLOOKUP(D109,'Deflatores Sisp'!G$4:H$38,2,FALSE)*K109+VLOOKUP(D109,'Deflatores Sisp'!G$4:I$38,3,FALSE)))*W109,"")</f>
        <v>0.15000000000000002</v>
      </c>
      <c r="P109" s="120"/>
      <c r="Q109" s="68"/>
      <c r="R109" s="68"/>
      <c r="S109" s="68"/>
      <c r="T109" s="68" t="s">
        <v>59</v>
      </c>
      <c r="U109" s="68"/>
      <c r="V109" s="121"/>
      <c r="W109" s="121">
        <f t="shared" si="125"/>
        <v>0.05</v>
      </c>
      <c r="X109" s="119"/>
      <c r="Y109" s="4"/>
      <c r="Z109" s="73">
        <f t="shared" si="140"/>
        <v>0</v>
      </c>
      <c r="AA109" s="73">
        <f t="shared" si="163"/>
        <v>0</v>
      </c>
      <c r="AB109" s="73">
        <f t="shared" si="164"/>
        <v>0</v>
      </c>
      <c r="AC109" s="73">
        <f t="shared" si="165"/>
        <v>0</v>
      </c>
      <c r="AD109" s="73">
        <f t="shared" si="166"/>
        <v>0.05</v>
      </c>
      <c r="AE109" s="73">
        <f t="shared" ref="AE109:AE126" si="169">IF(U109="x",5%,0)</f>
        <v>0</v>
      </c>
    </row>
    <row r="110" spans="1:31" ht="33" customHeight="1">
      <c r="A110" s="158" t="s">
        <v>667</v>
      </c>
      <c r="B110" s="162" t="s">
        <v>512</v>
      </c>
      <c r="C110" s="159" t="s">
        <v>60</v>
      </c>
      <c r="D110" s="154" t="s">
        <v>66</v>
      </c>
      <c r="E110" s="155">
        <v>15</v>
      </c>
      <c r="F110" s="157" t="s">
        <v>513</v>
      </c>
      <c r="G110" s="156">
        <v>3</v>
      </c>
      <c r="H110" s="157" t="s">
        <v>514</v>
      </c>
      <c r="I110" s="79" t="str">
        <f t="shared" si="167"/>
        <v>Alta</v>
      </c>
      <c r="J110" s="66" t="str">
        <f t="shared" si="99"/>
        <v>EEH</v>
      </c>
      <c r="K110" s="67">
        <f t="shared" si="168"/>
        <v>6</v>
      </c>
      <c r="L110" s="70" t="str">
        <f t="shared" si="100"/>
        <v>H</v>
      </c>
      <c r="M110" s="69" t="str">
        <f t="shared" si="106"/>
        <v>EEI</v>
      </c>
      <c r="N110" s="71">
        <f t="shared" si="77"/>
        <v>6</v>
      </c>
      <c r="O110" s="78">
        <f>IFERROR(IF(NOT(ISERROR(VLOOKUP(C110,'Deflatores Sisp'!G$42:H$70,2,FALSE))),VLOOKUP(C110,'Deflatores Sisp'!G$42:H$70,2,FALSE),IF(OR(ISBLANK(D110),ISBLANK(C110)),"",VLOOKUP(D110,'Deflatores Sisp'!G$4:H$38,2,FALSE)*K110+VLOOKUP(D110,'Deflatores Sisp'!G$4:I$38,3,FALSE)))*W110,"")</f>
        <v>0.30000000000000004</v>
      </c>
      <c r="P110" s="120"/>
      <c r="Q110" s="68"/>
      <c r="R110" s="68"/>
      <c r="S110" s="68"/>
      <c r="T110" s="68" t="s">
        <v>59</v>
      </c>
      <c r="U110" s="68"/>
      <c r="V110" s="121"/>
      <c r="W110" s="121">
        <f t="shared" si="125"/>
        <v>0.05</v>
      </c>
      <c r="X110" s="118"/>
      <c r="Y110" s="4"/>
      <c r="Z110" s="73">
        <f t="shared" si="140"/>
        <v>0</v>
      </c>
      <c r="AA110" s="73">
        <f t="shared" si="163"/>
        <v>0</v>
      </c>
      <c r="AB110" s="73">
        <f t="shared" si="164"/>
        <v>0</v>
      </c>
      <c r="AC110" s="73">
        <f t="shared" si="165"/>
        <v>0</v>
      </c>
      <c r="AD110" s="73">
        <f t="shared" si="166"/>
        <v>0.05</v>
      </c>
      <c r="AE110" s="73">
        <f t="shared" si="169"/>
        <v>0</v>
      </c>
    </row>
    <row r="111" spans="1:31" ht="33" customHeight="1">
      <c r="A111" s="158" t="s">
        <v>667</v>
      </c>
      <c r="B111" s="162" t="s">
        <v>515</v>
      </c>
      <c r="C111" s="159" t="s">
        <v>60</v>
      </c>
      <c r="D111" s="154" t="s">
        <v>66</v>
      </c>
      <c r="E111" s="155">
        <v>5</v>
      </c>
      <c r="F111" s="157" t="s">
        <v>516</v>
      </c>
      <c r="G111" s="156">
        <v>2</v>
      </c>
      <c r="H111" s="157" t="s">
        <v>517</v>
      </c>
      <c r="I111" s="79" t="str">
        <f t="shared" si="167"/>
        <v>Média</v>
      </c>
      <c r="J111" s="66" t="str">
        <f t="shared" si="99"/>
        <v>EEA</v>
      </c>
      <c r="K111" s="67">
        <f t="shared" si="168"/>
        <v>4</v>
      </c>
      <c r="L111" s="70" t="str">
        <f t="shared" si="100"/>
        <v>A</v>
      </c>
      <c r="M111" s="69" t="str">
        <f t="shared" si="106"/>
        <v>EEI</v>
      </c>
      <c r="N111" s="71">
        <f t="shared" si="77"/>
        <v>4</v>
      </c>
      <c r="O111" s="78">
        <f>IFERROR(IF(NOT(ISERROR(VLOOKUP(C111,'Deflatores Sisp'!G$42:H$70,2,FALSE))),VLOOKUP(C111,'Deflatores Sisp'!G$42:H$70,2,FALSE),IF(OR(ISBLANK(D111),ISBLANK(C111)),"",VLOOKUP(D111,'Deflatores Sisp'!G$4:H$38,2,FALSE)*K111+VLOOKUP(D111,'Deflatores Sisp'!G$4:I$38,3,FALSE)))*W111,"")</f>
        <v>0.2</v>
      </c>
      <c r="P111" s="120"/>
      <c r="Q111" s="68"/>
      <c r="R111" s="68"/>
      <c r="S111" s="68"/>
      <c r="T111" s="68" t="s">
        <v>59</v>
      </c>
      <c r="U111" s="68"/>
      <c r="V111" s="121"/>
      <c r="W111" s="121">
        <f t="shared" si="125"/>
        <v>0.05</v>
      </c>
      <c r="X111" s="118"/>
      <c r="Y111" s="4"/>
      <c r="Z111" s="73">
        <f t="shared" si="140"/>
        <v>0</v>
      </c>
      <c r="AA111" s="73">
        <f t="shared" si="163"/>
        <v>0</v>
      </c>
      <c r="AB111" s="73">
        <f t="shared" si="164"/>
        <v>0</v>
      </c>
      <c r="AC111" s="73">
        <f t="shared" si="165"/>
        <v>0</v>
      </c>
      <c r="AD111" s="73">
        <f t="shared" si="166"/>
        <v>0.05</v>
      </c>
      <c r="AE111" s="73">
        <f t="shared" si="169"/>
        <v>0</v>
      </c>
    </row>
    <row r="112" spans="1:31" ht="33" customHeight="1">
      <c r="A112" s="158" t="s">
        <v>667</v>
      </c>
      <c r="B112" s="162" t="s">
        <v>518</v>
      </c>
      <c r="C112" s="159" t="s">
        <v>60</v>
      </c>
      <c r="D112" s="154" t="s">
        <v>66</v>
      </c>
      <c r="E112" s="155">
        <v>8</v>
      </c>
      <c r="F112" s="157" t="s">
        <v>519</v>
      </c>
      <c r="G112" s="156">
        <v>4</v>
      </c>
      <c r="H112" s="157" t="s">
        <v>520</v>
      </c>
      <c r="I112" s="79" t="str">
        <f t="shared" ref="I112:I113" si="170">IF(ISBLANK(C112),"",IF(L112="L","Baixa",IF(L112="A","Média",IF(L112="","","Alta"))))</f>
        <v>Alta</v>
      </c>
      <c r="J112" s="66" t="str">
        <f t="shared" si="99"/>
        <v>EEH</v>
      </c>
      <c r="K112" s="67">
        <f t="shared" ref="K112:K113" si="171">IF(ISBLANK(C112),"",IF(C112="ALI",IF(L112="L",7,IF(L112="A",10,15)),IF(C112="AIE",IF(L112="L",5,IF(L112="A",7,10)),IF(C112="SE",IF(L112="L",4,IF(L112="A",5,7)),IF(OR(C112="EE",C112="CE"),IF(L112="L",3,IF(L112="A",4,6)),0)))))</f>
        <v>6</v>
      </c>
      <c r="L112" s="70" t="str">
        <f t="shared" si="100"/>
        <v>H</v>
      </c>
      <c r="M112" s="69" t="str">
        <f t="shared" si="106"/>
        <v>EEI</v>
      </c>
      <c r="N112" s="71">
        <f t="shared" si="77"/>
        <v>6</v>
      </c>
      <c r="O112" s="78">
        <f>IFERROR(IF(NOT(ISERROR(VLOOKUP(C112,'Deflatores Sisp'!G$42:H$70,2,FALSE))),VLOOKUP(C112,'Deflatores Sisp'!G$42:H$70,2,FALSE),IF(OR(ISBLANK(D112),ISBLANK(C112)),"",VLOOKUP(D112,'Deflatores Sisp'!G$4:H$38,2,FALSE)*K112+VLOOKUP(D112,'Deflatores Sisp'!G$4:I$38,3,FALSE)))*W112,"")</f>
        <v>0.30000000000000004</v>
      </c>
      <c r="P112" s="120"/>
      <c r="Q112" s="68"/>
      <c r="R112" s="68"/>
      <c r="S112" s="68"/>
      <c r="T112" s="68" t="s">
        <v>59</v>
      </c>
      <c r="U112" s="68"/>
      <c r="V112" s="121"/>
      <c r="W112" s="121">
        <f t="shared" si="125"/>
        <v>0.05</v>
      </c>
      <c r="X112" s="118"/>
      <c r="Y112" s="4"/>
      <c r="Z112" s="73">
        <f t="shared" si="140"/>
        <v>0</v>
      </c>
      <c r="AA112" s="73">
        <f t="shared" si="163"/>
        <v>0</v>
      </c>
      <c r="AB112" s="73">
        <f t="shared" si="164"/>
        <v>0</v>
      </c>
      <c r="AC112" s="73">
        <f t="shared" si="165"/>
        <v>0</v>
      </c>
      <c r="AD112" s="73">
        <f t="shared" si="166"/>
        <v>0.05</v>
      </c>
      <c r="AE112" s="73">
        <f t="shared" ref="AE112:AE113" si="172">IF(U112="x",5%,0)</f>
        <v>0</v>
      </c>
    </row>
    <row r="113" spans="1:31" ht="33" customHeight="1">
      <c r="A113" s="158" t="s">
        <v>667</v>
      </c>
      <c r="B113" s="162" t="s">
        <v>521</v>
      </c>
      <c r="C113" s="159" t="s">
        <v>60</v>
      </c>
      <c r="D113" s="154" t="s">
        <v>66</v>
      </c>
      <c r="E113" s="155">
        <v>5</v>
      </c>
      <c r="F113" s="157" t="s">
        <v>522</v>
      </c>
      <c r="G113" s="156">
        <v>3</v>
      </c>
      <c r="H113" s="157" t="s">
        <v>523</v>
      </c>
      <c r="I113" s="79" t="str">
        <f t="shared" si="170"/>
        <v>Alta</v>
      </c>
      <c r="J113" s="66" t="str">
        <f t="shared" si="99"/>
        <v>EEH</v>
      </c>
      <c r="K113" s="67">
        <f t="shared" si="171"/>
        <v>6</v>
      </c>
      <c r="L113" s="70" t="str">
        <f t="shared" si="100"/>
        <v>H</v>
      </c>
      <c r="M113" s="69" t="str">
        <f t="shared" si="106"/>
        <v>EEI</v>
      </c>
      <c r="N113" s="71">
        <f t="shared" si="77"/>
        <v>6</v>
      </c>
      <c r="O113" s="78">
        <f>IFERROR(IF(NOT(ISERROR(VLOOKUP(C113,'Deflatores Sisp'!G$42:H$70,2,FALSE))),VLOOKUP(C113,'Deflatores Sisp'!G$42:H$70,2,FALSE),IF(OR(ISBLANK(D113),ISBLANK(C113)),"",VLOOKUP(D113,'Deflatores Sisp'!G$4:H$38,2,FALSE)*K113+VLOOKUP(D113,'Deflatores Sisp'!G$4:I$38,3,FALSE)))*W113,"")</f>
        <v>0.30000000000000004</v>
      </c>
      <c r="P113" s="120"/>
      <c r="Q113" s="68"/>
      <c r="R113" s="68"/>
      <c r="S113" s="68"/>
      <c r="T113" s="68" t="s">
        <v>59</v>
      </c>
      <c r="U113" s="68"/>
      <c r="V113" s="121"/>
      <c r="W113" s="121">
        <f t="shared" si="125"/>
        <v>0.05</v>
      </c>
      <c r="X113" s="118"/>
      <c r="Y113" s="4"/>
      <c r="Z113" s="73">
        <f t="shared" si="140"/>
        <v>0</v>
      </c>
      <c r="AA113" s="73">
        <f t="shared" si="163"/>
        <v>0</v>
      </c>
      <c r="AB113" s="73">
        <f t="shared" si="164"/>
        <v>0</v>
      </c>
      <c r="AC113" s="73">
        <f t="shared" si="165"/>
        <v>0</v>
      </c>
      <c r="AD113" s="73">
        <f t="shared" si="166"/>
        <v>0.05</v>
      </c>
      <c r="AE113" s="73">
        <f t="shared" si="172"/>
        <v>0</v>
      </c>
    </row>
    <row r="114" spans="1:31" ht="33" customHeight="1">
      <c r="A114" s="158" t="s">
        <v>667</v>
      </c>
      <c r="B114" s="162" t="s">
        <v>524</v>
      </c>
      <c r="C114" s="159" t="s">
        <v>60</v>
      </c>
      <c r="D114" s="154" t="s">
        <v>66</v>
      </c>
      <c r="E114" s="155">
        <v>6</v>
      </c>
      <c r="F114" s="157" t="s">
        <v>525</v>
      </c>
      <c r="G114" s="156">
        <v>3</v>
      </c>
      <c r="H114" s="157" t="s">
        <v>526</v>
      </c>
      <c r="I114" s="79" t="str">
        <f t="shared" si="167"/>
        <v>Alta</v>
      </c>
      <c r="J114" s="66" t="str">
        <f t="shared" si="99"/>
        <v>EEH</v>
      </c>
      <c r="K114" s="67">
        <f t="shared" si="168"/>
        <v>6</v>
      </c>
      <c r="L114" s="70" t="str">
        <f t="shared" si="100"/>
        <v>H</v>
      </c>
      <c r="M114" s="69" t="str">
        <f t="shared" si="106"/>
        <v>EEI</v>
      </c>
      <c r="N114" s="71">
        <f t="shared" ref="N114:N126" si="173">IF(OR(K114="",K114=0),O114,K114)</f>
        <v>6</v>
      </c>
      <c r="O114" s="78">
        <f>IFERROR(IF(NOT(ISERROR(VLOOKUP(C114,'Deflatores Sisp'!G$42:H$70,2,FALSE))),VLOOKUP(C114,'Deflatores Sisp'!G$42:H$70,2,FALSE),IF(OR(ISBLANK(D114),ISBLANK(C114)),"",VLOOKUP(D114,'Deflatores Sisp'!G$4:H$38,2,FALSE)*K114+VLOOKUP(D114,'Deflatores Sisp'!G$4:I$38,3,FALSE)))*W114,"")</f>
        <v>0.30000000000000004</v>
      </c>
      <c r="P114" s="120"/>
      <c r="Q114" s="68"/>
      <c r="R114" s="68"/>
      <c r="S114" s="68"/>
      <c r="T114" s="68" t="s">
        <v>59</v>
      </c>
      <c r="U114" s="68"/>
      <c r="V114" s="121"/>
      <c r="W114" s="121">
        <f t="shared" si="125"/>
        <v>0.05</v>
      </c>
      <c r="X114" s="119"/>
      <c r="Y114" s="4"/>
      <c r="Z114" s="73">
        <f t="shared" si="140"/>
        <v>0</v>
      </c>
      <c r="AA114" s="73">
        <f t="shared" si="163"/>
        <v>0</v>
      </c>
      <c r="AB114" s="73">
        <f t="shared" si="164"/>
        <v>0</v>
      </c>
      <c r="AC114" s="73">
        <f t="shared" si="165"/>
        <v>0</v>
      </c>
      <c r="AD114" s="73">
        <f t="shared" si="166"/>
        <v>0.05</v>
      </c>
      <c r="AE114" s="73">
        <f t="shared" si="169"/>
        <v>0</v>
      </c>
    </row>
    <row r="115" spans="1:31" ht="33" customHeight="1">
      <c r="A115" s="158" t="s">
        <v>667</v>
      </c>
      <c r="B115" s="162" t="s">
        <v>527</v>
      </c>
      <c r="C115" s="159" t="s">
        <v>60</v>
      </c>
      <c r="D115" s="154" t="s">
        <v>66</v>
      </c>
      <c r="E115" s="155">
        <v>8</v>
      </c>
      <c r="F115" s="157" t="s">
        <v>528</v>
      </c>
      <c r="G115" s="156">
        <v>3</v>
      </c>
      <c r="H115" s="157" t="s">
        <v>529</v>
      </c>
      <c r="I115" s="79" t="str">
        <f t="shared" si="167"/>
        <v>Alta</v>
      </c>
      <c r="J115" s="66" t="str">
        <f t="shared" si="99"/>
        <v>EEH</v>
      </c>
      <c r="K115" s="67">
        <f t="shared" si="168"/>
        <v>6</v>
      </c>
      <c r="L115" s="70" t="str">
        <f t="shared" si="100"/>
        <v>H</v>
      </c>
      <c r="M115" s="69" t="str">
        <f t="shared" si="106"/>
        <v>EEI</v>
      </c>
      <c r="N115" s="71">
        <f t="shared" si="173"/>
        <v>6</v>
      </c>
      <c r="O115" s="78">
        <f>IFERROR(IF(NOT(ISERROR(VLOOKUP(C115,'Deflatores Sisp'!G$42:H$70,2,FALSE))),VLOOKUP(C115,'Deflatores Sisp'!G$42:H$70,2,FALSE),IF(OR(ISBLANK(D115),ISBLANK(C115)),"",VLOOKUP(D115,'Deflatores Sisp'!G$4:H$38,2,FALSE)*K115+VLOOKUP(D115,'Deflatores Sisp'!G$4:I$38,3,FALSE)))*W115,"")</f>
        <v>0.30000000000000004</v>
      </c>
      <c r="P115" s="120"/>
      <c r="Q115" s="68"/>
      <c r="R115" s="68"/>
      <c r="S115" s="68"/>
      <c r="T115" s="68" t="s">
        <v>59</v>
      </c>
      <c r="U115" s="68"/>
      <c r="V115" s="121"/>
      <c r="W115" s="121">
        <f t="shared" si="125"/>
        <v>0.05</v>
      </c>
      <c r="X115" s="118"/>
      <c r="Y115" s="4"/>
      <c r="Z115" s="73">
        <f t="shared" si="140"/>
        <v>0</v>
      </c>
      <c r="AA115" s="73">
        <f t="shared" si="163"/>
        <v>0</v>
      </c>
      <c r="AB115" s="73">
        <f t="shared" si="164"/>
        <v>0</v>
      </c>
      <c r="AC115" s="73">
        <f t="shared" si="165"/>
        <v>0</v>
      </c>
      <c r="AD115" s="73">
        <f t="shared" si="166"/>
        <v>0.05</v>
      </c>
      <c r="AE115" s="73">
        <f t="shared" si="169"/>
        <v>0</v>
      </c>
    </row>
    <row r="116" spans="1:31" ht="33" customHeight="1">
      <c r="A116" s="158" t="s">
        <v>667</v>
      </c>
      <c r="B116" s="162" t="s">
        <v>530</v>
      </c>
      <c r="C116" s="159" t="s">
        <v>60</v>
      </c>
      <c r="D116" s="154" t="s">
        <v>66</v>
      </c>
      <c r="E116" s="155">
        <v>10</v>
      </c>
      <c r="F116" s="157" t="s">
        <v>531</v>
      </c>
      <c r="G116" s="156">
        <v>4</v>
      </c>
      <c r="H116" s="157" t="s">
        <v>532</v>
      </c>
      <c r="I116" s="79" t="str">
        <f t="shared" si="167"/>
        <v>Alta</v>
      </c>
      <c r="J116" s="66" t="str">
        <f t="shared" si="99"/>
        <v>EEH</v>
      </c>
      <c r="K116" s="67">
        <f t="shared" si="168"/>
        <v>6</v>
      </c>
      <c r="L116" s="70" t="str">
        <f t="shared" si="100"/>
        <v>H</v>
      </c>
      <c r="M116" s="69" t="str">
        <f t="shared" si="106"/>
        <v>EEI</v>
      </c>
      <c r="N116" s="71">
        <f t="shared" si="173"/>
        <v>6</v>
      </c>
      <c r="O116" s="78">
        <f>IFERROR(IF(NOT(ISERROR(VLOOKUP(C116,'Deflatores Sisp'!G$42:H$70,2,FALSE))),VLOOKUP(C116,'Deflatores Sisp'!G$42:H$70,2,FALSE),IF(OR(ISBLANK(D116),ISBLANK(C116)),"",VLOOKUP(D116,'Deflatores Sisp'!G$4:H$38,2,FALSE)*K116+VLOOKUP(D116,'Deflatores Sisp'!G$4:I$38,3,FALSE)))*W116,"")</f>
        <v>0.30000000000000004</v>
      </c>
      <c r="P116" s="120"/>
      <c r="Q116" s="68"/>
      <c r="R116" s="68"/>
      <c r="S116" s="68"/>
      <c r="T116" s="68" t="s">
        <v>59</v>
      </c>
      <c r="U116" s="68"/>
      <c r="V116" s="121"/>
      <c r="W116" s="121">
        <f t="shared" si="125"/>
        <v>0.05</v>
      </c>
      <c r="X116" s="118"/>
      <c r="Y116" s="4"/>
      <c r="Z116" s="73">
        <f t="shared" ref="Z116:Z142" si="174">IF(P116="x",25%,0)</f>
        <v>0</v>
      </c>
      <c r="AA116" s="73">
        <f t="shared" si="163"/>
        <v>0</v>
      </c>
      <c r="AB116" s="73">
        <f t="shared" si="164"/>
        <v>0</v>
      </c>
      <c r="AC116" s="73">
        <f t="shared" si="165"/>
        <v>0</v>
      </c>
      <c r="AD116" s="73">
        <f t="shared" si="166"/>
        <v>0.05</v>
      </c>
      <c r="AE116" s="73">
        <f t="shared" si="169"/>
        <v>0</v>
      </c>
    </row>
    <row r="117" spans="1:31" ht="33" customHeight="1">
      <c r="A117" s="158" t="s">
        <v>667</v>
      </c>
      <c r="B117" s="162" t="s">
        <v>533</v>
      </c>
      <c r="C117" s="159" t="s">
        <v>60</v>
      </c>
      <c r="D117" s="154" t="s">
        <v>66</v>
      </c>
      <c r="E117" s="155">
        <v>8</v>
      </c>
      <c r="F117" s="157" t="s">
        <v>534</v>
      </c>
      <c r="G117" s="156">
        <v>2</v>
      </c>
      <c r="H117" s="157" t="s">
        <v>535</v>
      </c>
      <c r="I117" s="79" t="str">
        <f t="shared" si="167"/>
        <v>Média</v>
      </c>
      <c r="J117" s="66" t="str">
        <f t="shared" si="99"/>
        <v>EEA</v>
      </c>
      <c r="K117" s="67">
        <f t="shared" si="168"/>
        <v>4</v>
      </c>
      <c r="L117" s="70" t="str">
        <f t="shared" si="100"/>
        <v>A</v>
      </c>
      <c r="M117" s="69" t="str">
        <f t="shared" si="106"/>
        <v>EEI</v>
      </c>
      <c r="N117" s="71">
        <f t="shared" si="173"/>
        <v>4</v>
      </c>
      <c r="O117" s="78">
        <f>IFERROR(IF(NOT(ISERROR(VLOOKUP(C117,'Deflatores Sisp'!G$42:H$70,2,FALSE))),VLOOKUP(C117,'Deflatores Sisp'!G$42:H$70,2,FALSE),IF(OR(ISBLANK(D117),ISBLANK(C117)),"",VLOOKUP(D117,'Deflatores Sisp'!G$4:H$38,2,FALSE)*K117+VLOOKUP(D117,'Deflatores Sisp'!G$4:I$38,3,FALSE)))*W117,"")</f>
        <v>0.2</v>
      </c>
      <c r="P117" s="120"/>
      <c r="Q117" s="68"/>
      <c r="R117" s="68"/>
      <c r="S117" s="68"/>
      <c r="T117" s="68" t="s">
        <v>59</v>
      </c>
      <c r="U117" s="68"/>
      <c r="V117" s="121"/>
      <c r="W117" s="121">
        <f t="shared" si="125"/>
        <v>0.05</v>
      </c>
      <c r="X117" s="119"/>
      <c r="Y117" s="4"/>
      <c r="Z117" s="73">
        <f t="shared" si="174"/>
        <v>0</v>
      </c>
      <c r="AA117" s="73">
        <f t="shared" si="163"/>
        <v>0</v>
      </c>
      <c r="AB117" s="73">
        <f t="shared" si="164"/>
        <v>0</v>
      </c>
      <c r="AC117" s="73">
        <f t="shared" si="165"/>
        <v>0</v>
      </c>
      <c r="AD117" s="73">
        <f t="shared" si="166"/>
        <v>0.05</v>
      </c>
      <c r="AE117" s="73">
        <f t="shared" si="169"/>
        <v>0</v>
      </c>
    </row>
    <row r="118" spans="1:31" ht="33" customHeight="1">
      <c r="A118" s="158" t="s">
        <v>667</v>
      </c>
      <c r="B118" s="162" t="s">
        <v>536</v>
      </c>
      <c r="C118" s="159" t="s">
        <v>60</v>
      </c>
      <c r="D118" s="154" t="s">
        <v>66</v>
      </c>
      <c r="E118" s="155">
        <v>6</v>
      </c>
      <c r="F118" s="157" t="s">
        <v>537</v>
      </c>
      <c r="G118" s="156">
        <v>2</v>
      </c>
      <c r="H118" s="157" t="s">
        <v>538</v>
      </c>
      <c r="I118" s="79" t="str">
        <f t="shared" ref="I118" si="175">IF(ISBLANK(C118),"",IF(L118="L","Baixa",IF(L118="A","Média",IF(L118="","","Alta"))))</f>
        <v>Média</v>
      </c>
      <c r="J118" s="66" t="str">
        <f t="shared" si="99"/>
        <v>EEA</v>
      </c>
      <c r="K118" s="67">
        <f t="shared" ref="K118" si="176">IF(ISBLANK(C118),"",IF(C118="ALI",IF(L118="L",7,IF(L118="A",10,15)),IF(C118="AIE",IF(L118="L",5,IF(L118="A",7,10)),IF(C118="SE",IF(L118="L",4,IF(L118="A",5,7)),IF(OR(C118="EE",C118="CE"),IF(L118="L",3,IF(L118="A",4,6)),0)))))</f>
        <v>4</v>
      </c>
      <c r="L118" s="70" t="str">
        <f t="shared" si="100"/>
        <v>A</v>
      </c>
      <c r="M118" s="69" t="str">
        <f t="shared" si="106"/>
        <v>EEI</v>
      </c>
      <c r="N118" s="71">
        <f t="shared" si="173"/>
        <v>4</v>
      </c>
      <c r="O118" s="78">
        <f>IFERROR(IF(NOT(ISERROR(VLOOKUP(C118,'Deflatores Sisp'!G$42:H$70,2,FALSE))),VLOOKUP(C118,'Deflatores Sisp'!G$42:H$70,2,FALSE),IF(OR(ISBLANK(D118),ISBLANK(C118)),"",VLOOKUP(D118,'Deflatores Sisp'!G$4:H$38,2,FALSE)*K118+VLOOKUP(D118,'Deflatores Sisp'!G$4:I$38,3,FALSE)))*W118,"")</f>
        <v>0.2</v>
      </c>
      <c r="P118" s="120"/>
      <c r="Q118" s="68"/>
      <c r="R118" s="68"/>
      <c r="S118" s="68"/>
      <c r="T118" s="68" t="s">
        <v>59</v>
      </c>
      <c r="U118" s="68"/>
      <c r="V118" s="121"/>
      <c r="W118" s="121">
        <f t="shared" si="125"/>
        <v>0.05</v>
      </c>
      <c r="X118" s="118"/>
      <c r="Y118" s="4"/>
      <c r="Z118" s="73">
        <f t="shared" si="174"/>
        <v>0</v>
      </c>
      <c r="AA118" s="73">
        <f t="shared" si="163"/>
        <v>0</v>
      </c>
      <c r="AB118" s="73">
        <f t="shared" si="164"/>
        <v>0</v>
      </c>
      <c r="AC118" s="73">
        <f t="shared" si="165"/>
        <v>0</v>
      </c>
      <c r="AD118" s="73">
        <f t="shared" si="166"/>
        <v>0.05</v>
      </c>
      <c r="AE118" s="73">
        <f t="shared" ref="AE118" si="177">IF(U118="x",5%,0)</f>
        <v>0</v>
      </c>
    </row>
    <row r="119" spans="1:31" ht="33" customHeight="1">
      <c r="A119" s="158" t="s">
        <v>667</v>
      </c>
      <c r="B119" s="164" t="s">
        <v>539</v>
      </c>
      <c r="C119" s="165" t="s">
        <v>60</v>
      </c>
      <c r="D119" s="154" t="s">
        <v>66</v>
      </c>
      <c r="E119" s="155">
        <v>8</v>
      </c>
      <c r="F119" s="124" t="s">
        <v>540</v>
      </c>
      <c r="G119" s="156">
        <v>2</v>
      </c>
      <c r="H119" s="124" t="s">
        <v>541</v>
      </c>
      <c r="I119" s="79" t="str">
        <f t="shared" si="167"/>
        <v>Média</v>
      </c>
      <c r="J119" s="66" t="str">
        <f t="shared" si="99"/>
        <v>EEA</v>
      </c>
      <c r="K119" s="67">
        <f t="shared" si="168"/>
        <v>4</v>
      </c>
      <c r="L119" s="70" t="str">
        <f t="shared" si="100"/>
        <v>A</v>
      </c>
      <c r="M119" s="69" t="str">
        <f t="shared" si="106"/>
        <v>EEI</v>
      </c>
      <c r="N119" s="71">
        <f t="shared" si="173"/>
        <v>4</v>
      </c>
      <c r="O119" s="78">
        <f>IFERROR(IF(NOT(ISERROR(VLOOKUP(C119,'Deflatores Sisp'!G$42:H$70,2,FALSE))),VLOOKUP(C119,'Deflatores Sisp'!G$42:H$70,2,FALSE),IF(OR(ISBLANK(D119),ISBLANK(C119)),"",VLOOKUP(D119,'Deflatores Sisp'!G$4:H$38,2,FALSE)*K119+VLOOKUP(D119,'Deflatores Sisp'!G$4:I$38,3,FALSE)))*W119,"")</f>
        <v>0.2</v>
      </c>
      <c r="P119" s="120"/>
      <c r="Q119" s="68"/>
      <c r="R119" s="68"/>
      <c r="S119" s="68"/>
      <c r="T119" s="68" t="s">
        <v>59</v>
      </c>
      <c r="U119" s="68"/>
      <c r="V119" s="121"/>
      <c r="W119" s="121">
        <f t="shared" si="125"/>
        <v>0.05</v>
      </c>
      <c r="X119" s="119"/>
      <c r="Y119" s="4"/>
      <c r="Z119" s="73">
        <f t="shared" si="174"/>
        <v>0</v>
      </c>
      <c r="AA119" s="73">
        <f t="shared" si="163"/>
        <v>0</v>
      </c>
      <c r="AB119" s="73">
        <f t="shared" si="164"/>
        <v>0</v>
      </c>
      <c r="AC119" s="73">
        <f t="shared" si="165"/>
        <v>0</v>
      </c>
      <c r="AD119" s="73">
        <f t="shared" si="166"/>
        <v>0.05</v>
      </c>
      <c r="AE119" s="73">
        <f t="shared" si="169"/>
        <v>0</v>
      </c>
    </row>
    <row r="120" spans="1:31" ht="33" customHeight="1">
      <c r="A120" s="158" t="s">
        <v>667</v>
      </c>
      <c r="B120" s="164" t="s">
        <v>542</v>
      </c>
      <c r="C120" s="165" t="s">
        <v>60</v>
      </c>
      <c r="D120" s="154" t="s">
        <v>66</v>
      </c>
      <c r="E120" s="155">
        <v>12</v>
      </c>
      <c r="F120" s="124" t="s">
        <v>543</v>
      </c>
      <c r="G120" s="156">
        <v>3</v>
      </c>
      <c r="H120" s="124" t="s">
        <v>544</v>
      </c>
      <c r="I120" s="79" t="str">
        <f t="shared" si="167"/>
        <v>Alta</v>
      </c>
      <c r="J120" s="66" t="str">
        <f t="shared" si="99"/>
        <v>EEH</v>
      </c>
      <c r="K120" s="67">
        <f t="shared" si="168"/>
        <v>6</v>
      </c>
      <c r="L120" s="70" t="str">
        <f t="shared" si="100"/>
        <v>H</v>
      </c>
      <c r="M120" s="69" t="str">
        <f t="shared" si="106"/>
        <v>EEI</v>
      </c>
      <c r="N120" s="71">
        <f t="shared" si="173"/>
        <v>6</v>
      </c>
      <c r="O120" s="78">
        <f>IFERROR(IF(NOT(ISERROR(VLOOKUP(C120,'Deflatores Sisp'!G$42:H$70,2,FALSE))),VLOOKUP(C120,'Deflatores Sisp'!G$42:H$70,2,FALSE),IF(OR(ISBLANK(D120),ISBLANK(C120)),"",VLOOKUP(D120,'Deflatores Sisp'!G$4:H$38,2,FALSE)*K120+VLOOKUP(D120,'Deflatores Sisp'!G$4:I$38,3,FALSE)))*W120,"")</f>
        <v>0.30000000000000004</v>
      </c>
      <c r="P120" s="120"/>
      <c r="Q120" s="68"/>
      <c r="R120" s="68"/>
      <c r="S120" s="68"/>
      <c r="T120" s="68" t="s">
        <v>59</v>
      </c>
      <c r="U120" s="68"/>
      <c r="V120" s="121"/>
      <c r="W120" s="121">
        <f t="shared" si="125"/>
        <v>0.05</v>
      </c>
      <c r="X120" s="118"/>
      <c r="Y120" s="4"/>
      <c r="Z120" s="73">
        <f t="shared" si="174"/>
        <v>0</v>
      </c>
      <c r="AA120" s="73">
        <f t="shared" si="163"/>
        <v>0</v>
      </c>
      <c r="AB120" s="73">
        <f t="shared" si="164"/>
        <v>0</v>
      </c>
      <c r="AC120" s="73">
        <f t="shared" si="165"/>
        <v>0</v>
      </c>
      <c r="AD120" s="73">
        <f t="shared" si="166"/>
        <v>0.05</v>
      </c>
      <c r="AE120" s="73">
        <f t="shared" si="169"/>
        <v>0</v>
      </c>
    </row>
    <row r="121" spans="1:31" ht="33" customHeight="1">
      <c r="A121" s="158" t="s">
        <v>667</v>
      </c>
      <c r="B121" s="164" t="s">
        <v>545</v>
      </c>
      <c r="C121" s="165" t="s">
        <v>60</v>
      </c>
      <c r="D121" s="154" t="s">
        <v>66</v>
      </c>
      <c r="E121" s="155">
        <v>12</v>
      </c>
      <c r="F121" s="124" t="s">
        <v>546</v>
      </c>
      <c r="G121" s="156">
        <v>3</v>
      </c>
      <c r="H121" s="124" t="s">
        <v>547</v>
      </c>
      <c r="I121" s="79" t="str">
        <f t="shared" si="167"/>
        <v>Alta</v>
      </c>
      <c r="J121" s="66" t="str">
        <f t="shared" si="99"/>
        <v>EEH</v>
      </c>
      <c r="K121" s="67">
        <f t="shared" si="168"/>
        <v>6</v>
      </c>
      <c r="L121" s="70" t="str">
        <f t="shared" si="100"/>
        <v>H</v>
      </c>
      <c r="M121" s="69" t="str">
        <f t="shared" si="106"/>
        <v>EEI</v>
      </c>
      <c r="N121" s="71">
        <f t="shared" si="173"/>
        <v>6</v>
      </c>
      <c r="O121" s="78">
        <f>IFERROR(IF(NOT(ISERROR(VLOOKUP(C121,'Deflatores Sisp'!G$42:H$70,2,FALSE))),VLOOKUP(C121,'Deflatores Sisp'!G$42:H$70,2,FALSE),IF(OR(ISBLANK(D121),ISBLANK(C121)),"",VLOOKUP(D121,'Deflatores Sisp'!G$4:H$38,2,FALSE)*K121+VLOOKUP(D121,'Deflatores Sisp'!G$4:I$38,3,FALSE)))*W121,"")</f>
        <v>0.30000000000000004</v>
      </c>
      <c r="P121" s="120"/>
      <c r="Q121" s="68"/>
      <c r="R121" s="68"/>
      <c r="S121" s="68"/>
      <c r="T121" s="68" t="s">
        <v>59</v>
      </c>
      <c r="U121" s="68"/>
      <c r="V121" s="121"/>
      <c r="W121" s="121">
        <f t="shared" si="125"/>
        <v>0.05</v>
      </c>
      <c r="X121" s="118"/>
      <c r="Y121" s="4"/>
      <c r="Z121" s="73">
        <f t="shared" si="174"/>
        <v>0</v>
      </c>
      <c r="AA121" s="73">
        <f t="shared" si="163"/>
        <v>0</v>
      </c>
      <c r="AB121" s="73">
        <f t="shared" si="164"/>
        <v>0</v>
      </c>
      <c r="AC121" s="73">
        <f t="shared" si="165"/>
        <v>0</v>
      </c>
      <c r="AD121" s="73">
        <f t="shared" si="166"/>
        <v>0.05</v>
      </c>
      <c r="AE121" s="73">
        <f t="shared" si="169"/>
        <v>0</v>
      </c>
    </row>
    <row r="122" spans="1:31" ht="33" customHeight="1">
      <c r="A122" s="158" t="s">
        <v>667</v>
      </c>
      <c r="B122" s="164" t="s">
        <v>548</v>
      </c>
      <c r="C122" s="165" t="s">
        <v>60</v>
      </c>
      <c r="D122" s="154" t="s">
        <v>66</v>
      </c>
      <c r="E122" s="155">
        <v>10</v>
      </c>
      <c r="F122" s="124" t="s">
        <v>549</v>
      </c>
      <c r="G122" s="156">
        <v>3</v>
      </c>
      <c r="H122" s="124" t="s">
        <v>550</v>
      </c>
      <c r="I122" s="79" t="str">
        <f t="shared" si="167"/>
        <v>Alta</v>
      </c>
      <c r="J122" s="66" t="str">
        <f t="shared" si="99"/>
        <v>EEH</v>
      </c>
      <c r="K122" s="67">
        <f t="shared" si="168"/>
        <v>6</v>
      </c>
      <c r="L122" s="70" t="str">
        <f t="shared" si="100"/>
        <v>H</v>
      </c>
      <c r="M122" s="69" t="str">
        <f t="shared" si="106"/>
        <v>EEI</v>
      </c>
      <c r="N122" s="71">
        <f t="shared" si="173"/>
        <v>6</v>
      </c>
      <c r="O122" s="78">
        <f>IFERROR(IF(NOT(ISERROR(VLOOKUP(C122,'Deflatores Sisp'!G$42:H$70,2,FALSE))),VLOOKUP(C122,'Deflatores Sisp'!G$42:H$70,2,FALSE),IF(OR(ISBLANK(D122),ISBLANK(C122)),"",VLOOKUP(D122,'Deflatores Sisp'!G$4:H$38,2,FALSE)*K122+VLOOKUP(D122,'Deflatores Sisp'!G$4:I$38,3,FALSE)))*W122,"")</f>
        <v>0.30000000000000004</v>
      </c>
      <c r="P122" s="120"/>
      <c r="Q122" s="68"/>
      <c r="R122" s="68"/>
      <c r="S122" s="68"/>
      <c r="T122" s="68" t="s">
        <v>59</v>
      </c>
      <c r="U122" s="68"/>
      <c r="V122" s="121"/>
      <c r="W122" s="121">
        <f t="shared" si="125"/>
        <v>0.05</v>
      </c>
      <c r="X122" s="119"/>
      <c r="Y122" s="4"/>
      <c r="Z122" s="73">
        <f t="shared" si="174"/>
        <v>0</v>
      </c>
      <c r="AA122" s="73">
        <f t="shared" si="163"/>
        <v>0</v>
      </c>
      <c r="AB122" s="73">
        <f t="shared" si="164"/>
        <v>0</v>
      </c>
      <c r="AC122" s="73">
        <f t="shared" si="165"/>
        <v>0</v>
      </c>
      <c r="AD122" s="73">
        <f t="shared" si="166"/>
        <v>0.05</v>
      </c>
      <c r="AE122" s="73">
        <f t="shared" si="169"/>
        <v>0</v>
      </c>
    </row>
    <row r="123" spans="1:31" ht="33" customHeight="1">
      <c r="A123" s="158" t="s">
        <v>667</v>
      </c>
      <c r="B123" s="164" t="s">
        <v>551</v>
      </c>
      <c r="C123" s="165" t="s">
        <v>60</v>
      </c>
      <c r="D123" s="154" t="s">
        <v>66</v>
      </c>
      <c r="E123" s="155">
        <v>8</v>
      </c>
      <c r="F123" s="124" t="s">
        <v>552</v>
      </c>
      <c r="G123" s="156">
        <v>2</v>
      </c>
      <c r="H123" s="124" t="s">
        <v>553</v>
      </c>
      <c r="I123" s="79" t="str">
        <f t="shared" ref="I123" si="178">IF(ISBLANK(C123),"",IF(L123="L","Baixa",IF(L123="A","Média",IF(L123="","","Alta"))))</f>
        <v>Média</v>
      </c>
      <c r="J123" s="66" t="str">
        <f t="shared" si="99"/>
        <v>EEA</v>
      </c>
      <c r="K123" s="67">
        <f t="shared" ref="K123" si="179">IF(ISBLANK(C123),"",IF(C123="ALI",IF(L123="L",7,IF(L123="A",10,15)),IF(C123="AIE",IF(L123="L",5,IF(L123="A",7,10)),IF(C123="SE",IF(L123="L",4,IF(L123="A",5,7)),IF(OR(C123="EE",C123="CE"),IF(L123="L",3,IF(L123="A",4,6)),0)))))</f>
        <v>4</v>
      </c>
      <c r="L123" s="70" t="str">
        <f t="shared" si="100"/>
        <v>A</v>
      </c>
      <c r="M123" s="69" t="str">
        <f t="shared" si="106"/>
        <v>EEI</v>
      </c>
      <c r="N123" s="71">
        <f t="shared" si="173"/>
        <v>4</v>
      </c>
      <c r="O123" s="78">
        <f>IFERROR(IF(NOT(ISERROR(VLOOKUP(C123,'Deflatores Sisp'!G$42:H$70,2,FALSE))),VLOOKUP(C123,'Deflatores Sisp'!G$42:H$70,2,FALSE),IF(OR(ISBLANK(D123),ISBLANK(C123)),"",VLOOKUP(D123,'Deflatores Sisp'!G$4:H$38,2,FALSE)*K123+VLOOKUP(D123,'Deflatores Sisp'!G$4:I$38,3,FALSE)))*W123,"")</f>
        <v>0.2</v>
      </c>
      <c r="P123" s="120"/>
      <c r="Q123" s="68"/>
      <c r="R123" s="68"/>
      <c r="S123" s="68"/>
      <c r="T123" s="68" t="s">
        <v>59</v>
      </c>
      <c r="U123" s="68"/>
      <c r="V123" s="121"/>
      <c r="W123" s="121">
        <f t="shared" si="125"/>
        <v>0.05</v>
      </c>
      <c r="X123" s="118"/>
      <c r="Y123" s="4"/>
      <c r="Z123" s="73">
        <f t="shared" si="174"/>
        <v>0</v>
      </c>
      <c r="AA123" s="73">
        <f>IF(Q123="x",10%,0)</f>
        <v>0</v>
      </c>
      <c r="AB123" s="73">
        <f>IF(R123="x",40%,0)</f>
        <v>0</v>
      </c>
      <c r="AC123" s="73">
        <f>IF(S123="x",15%,0)</f>
        <v>0</v>
      </c>
      <c r="AD123" s="73">
        <f>IF(T123="x",5%,0)</f>
        <v>0.05</v>
      </c>
      <c r="AE123" s="73">
        <f t="shared" ref="AE123" si="180">IF(U123="x",5%,0)</f>
        <v>0</v>
      </c>
    </row>
    <row r="124" spans="1:31" ht="33" customHeight="1">
      <c r="A124" s="158" t="s">
        <v>667</v>
      </c>
      <c r="B124" s="164" t="s">
        <v>554</v>
      </c>
      <c r="C124" s="165" t="s">
        <v>60</v>
      </c>
      <c r="D124" s="154" t="s">
        <v>66</v>
      </c>
      <c r="E124" s="155">
        <v>12</v>
      </c>
      <c r="F124" s="124" t="s">
        <v>555</v>
      </c>
      <c r="G124" s="156">
        <v>2</v>
      </c>
      <c r="H124" s="124" t="s">
        <v>556</v>
      </c>
      <c r="I124" s="79" t="str">
        <f t="shared" si="167"/>
        <v>Média</v>
      </c>
      <c r="J124" s="66" t="str">
        <f t="shared" si="99"/>
        <v>EEA</v>
      </c>
      <c r="K124" s="67">
        <f t="shared" si="168"/>
        <v>4</v>
      </c>
      <c r="L124" s="70" t="str">
        <f t="shared" si="100"/>
        <v>A</v>
      </c>
      <c r="M124" s="69" t="str">
        <f t="shared" si="106"/>
        <v>EEI</v>
      </c>
      <c r="N124" s="71">
        <f t="shared" si="173"/>
        <v>4</v>
      </c>
      <c r="O124" s="78">
        <f>IFERROR(IF(NOT(ISERROR(VLOOKUP(C124,'Deflatores Sisp'!G$42:H$70,2,FALSE))),VLOOKUP(C124,'Deflatores Sisp'!G$42:H$70,2,FALSE),IF(OR(ISBLANK(D124),ISBLANK(C124)),"",VLOOKUP(D124,'Deflatores Sisp'!G$4:H$38,2,FALSE)*K124+VLOOKUP(D124,'Deflatores Sisp'!G$4:I$38,3,FALSE)))*W124,"")</f>
        <v>0.2</v>
      </c>
      <c r="P124" s="120"/>
      <c r="Q124" s="68"/>
      <c r="R124" s="68"/>
      <c r="S124" s="68"/>
      <c r="T124" s="68" t="s">
        <v>59</v>
      </c>
      <c r="U124" s="68"/>
      <c r="V124" s="121"/>
      <c r="W124" s="121">
        <f t="shared" si="125"/>
        <v>0.05</v>
      </c>
      <c r="X124" s="119"/>
      <c r="Y124" s="4"/>
      <c r="Z124" s="73">
        <f t="shared" si="174"/>
        <v>0</v>
      </c>
      <c r="AA124" s="73">
        <f>IF(Q124="x",10%,0)</f>
        <v>0</v>
      </c>
      <c r="AB124" s="73">
        <f>IF(R124="x",40%,0)</f>
        <v>0</v>
      </c>
      <c r="AC124" s="73">
        <f>IF(S124="x",15%,0)</f>
        <v>0</v>
      </c>
      <c r="AD124" s="73">
        <f>IF(T124="x",5%,0)</f>
        <v>0.05</v>
      </c>
      <c r="AE124" s="73">
        <f t="shared" si="169"/>
        <v>0</v>
      </c>
    </row>
    <row r="125" spans="1:31" ht="33" customHeight="1">
      <c r="A125" s="158" t="s">
        <v>667</v>
      </c>
      <c r="B125" s="166" t="s">
        <v>557</v>
      </c>
      <c r="C125" s="165" t="s">
        <v>60</v>
      </c>
      <c r="D125" s="154" t="s">
        <v>66</v>
      </c>
      <c r="E125" s="155">
        <v>14</v>
      </c>
      <c r="F125" s="124" t="s">
        <v>558</v>
      </c>
      <c r="G125" s="156">
        <v>3</v>
      </c>
      <c r="H125" s="124" t="s">
        <v>559</v>
      </c>
      <c r="I125" s="79" t="str">
        <f t="shared" si="167"/>
        <v>Alta</v>
      </c>
      <c r="J125" s="66" t="str">
        <f t="shared" si="99"/>
        <v>EEH</v>
      </c>
      <c r="K125" s="67">
        <f t="shared" si="168"/>
        <v>6</v>
      </c>
      <c r="L125" s="70" t="str">
        <f t="shared" si="100"/>
        <v>H</v>
      </c>
      <c r="M125" s="69" t="str">
        <f t="shared" si="106"/>
        <v>EEI</v>
      </c>
      <c r="N125" s="71">
        <f t="shared" si="173"/>
        <v>6</v>
      </c>
      <c r="O125" s="78">
        <f>IFERROR(IF(NOT(ISERROR(VLOOKUP(C125,'Deflatores Sisp'!G$42:H$70,2,FALSE))),VLOOKUP(C125,'Deflatores Sisp'!G$42:H$70,2,FALSE),IF(OR(ISBLANK(D125),ISBLANK(C125)),"",VLOOKUP(D125,'Deflatores Sisp'!G$4:H$38,2,FALSE)*K125+VLOOKUP(D125,'Deflatores Sisp'!G$4:I$38,3,FALSE)))*W125,"")</f>
        <v>0.30000000000000004</v>
      </c>
      <c r="P125" s="120"/>
      <c r="Q125" s="68"/>
      <c r="R125" s="68"/>
      <c r="S125" s="68"/>
      <c r="T125" s="68" t="s">
        <v>59</v>
      </c>
      <c r="U125" s="68"/>
      <c r="V125" s="121"/>
      <c r="W125" s="121">
        <f t="shared" si="125"/>
        <v>0.05</v>
      </c>
      <c r="X125" s="118"/>
      <c r="Y125" s="4"/>
      <c r="Z125" s="73">
        <f t="shared" si="174"/>
        <v>0</v>
      </c>
      <c r="AA125" s="73">
        <f t="shared" ref="AA125:AA126" si="181">IF(Q125="x",10%,0)</f>
        <v>0</v>
      </c>
      <c r="AB125" s="73">
        <f t="shared" ref="AB125:AB126" si="182">IF(R125="x",40%,0)</f>
        <v>0</v>
      </c>
      <c r="AC125" s="73">
        <f t="shared" ref="AC125:AC126" si="183">IF(S125="x",15%,0)</f>
        <v>0</v>
      </c>
      <c r="AD125" s="73">
        <f t="shared" ref="AD125:AD126" si="184">IF(T125="x",5%,0)</f>
        <v>0.05</v>
      </c>
      <c r="AE125" s="73">
        <f t="shared" si="169"/>
        <v>0</v>
      </c>
    </row>
    <row r="126" spans="1:31" ht="33" customHeight="1">
      <c r="A126" s="158" t="s">
        <v>667</v>
      </c>
      <c r="B126" s="166" t="s">
        <v>560</v>
      </c>
      <c r="C126" s="165" t="s">
        <v>60</v>
      </c>
      <c r="D126" s="154" t="s">
        <v>66</v>
      </c>
      <c r="E126" s="155">
        <v>10</v>
      </c>
      <c r="F126" s="153" t="s">
        <v>561</v>
      </c>
      <c r="G126" s="156">
        <v>4</v>
      </c>
      <c r="H126" s="157" t="s">
        <v>562</v>
      </c>
      <c r="I126" s="79" t="str">
        <f t="shared" si="167"/>
        <v>Alta</v>
      </c>
      <c r="J126" s="66" t="str">
        <f t="shared" si="99"/>
        <v>EEH</v>
      </c>
      <c r="K126" s="67">
        <f t="shared" si="168"/>
        <v>6</v>
      </c>
      <c r="L126" s="70" t="str">
        <f t="shared" si="100"/>
        <v>H</v>
      </c>
      <c r="M126" s="69" t="str">
        <f t="shared" si="106"/>
        <v>EEI</v>
      </c>
      <c r="N126" s="71">
        <f t="shared" si="173"/>
        <v>6</v>
      </c>
      <c r="O126" s="78">
        <f>IFERROR(IF(NOT(ISERROR(VLOOKUP(C126,'Deflatores Sisp'!G$42:H$70,2,FALSE))),VLOOKUP(C126,'Deflatores Sisp'!G$42:H$70,2,FALSE),IF(OR(ISBLANK(D126),ISBLANK(C126)),"",VLOOKUP(D126,'Deflatores Sisp'!G$4:H$38,2,FALSE)*K126+VLOOKUP(D126,'Deflatores Sisp'!G$4:I$38,3,FALSE)))*W126,"")</f>
        <v>0.30000000000000004</v>
      </c>
      <c r="P126" s="120"/>
      <c r="Q126" s="68"/>
      <c r="R126" s="68"/>
      <c r="S126" s="68"/>
      <c r="T126" s="68" t="s">
        <v>59</v>
      </c>
      <c r="U126" s="68"/>
      <c r="V126" s="121"/>
      <c r="W126" s="121">
        <f t="shared" si="125"/>
        <v>0.05</v>
      </c>
      <c r="X126" s="119"/>
      <c r="Y126" s="4"/>
      <c r="Z126" s="73">
        <f t="shared" si="174"/>
        <v>0</v>
      </c>
      <c r="AA126" s="73">
        <f t="shared" si="181"/>
        <v>0</v>
      </c>
      <c r="AB126" s="73">
        <f t="shared" si="182"/>
        <v>0</v>
      </c>
      <c r="AC126" s="73">
        <f t="shared" si="183"/>
        <v>0</v>
      </c>
      <c r="AD126" s="73">
        <f t="shared" si="184"/>
        <v>0.05</v>
      </c>
      <c r="AE126" s="73">
        <f t="shared" si="169"/>
        <v>0</v>
      </c>
    </row>
    <row r="127" spans="1:31" ht="33" customHeight="1">
      <c r="A127" s="158" t="s">
        <v>667</v>
      </c>
      <c r="B127" s="166" t="s">
        <v>563</v>
      </c>
      <c r="C127" s="165" t="s">
        <v>60</v>
      </c>
      <c r="D127" s="154" t="s">
        <v>66</v>
      </c>
      <c r="E127" s="155">
        <v>5</v>
      </c>
      <c r="F127" s="153" t="s">
        <v>564</v>
      </c>
      <c r="G127" s="156">
        <v>2</v>
      </c>
      <c r="H127" s="157" t="s">
        <v>565</v>
      </c>
      <c r="I127" s="79" t="str">
        <f t="shared" ref="I127:I134" si="185">IF(ISBLANK(C127),"",IF(L127="L","Baixa",IF(L127="A","Média",IF(L127="","","Alta"))))</f>
        <v>Média</v>
      </c>
      <c r="J127" s="66" t="str">
        <f t="shared" ref="J127:J134" si="186">CONCATENATE(C127,L127)</f>
        <v>EEA</v>
      </c>
      <c r="K127" s="67">
        <f t="shared" ref="K127:K134" si="187">IF(ISBLANK(C127),"",IF(C127="ALI",IF(L127="L",7,IF(L127="A",10,15)),IF(C127="AIE",IF(L127="L",5,IF(L127="A",7,10)),IF(C127="SE",IF(L127="L",4,IF(L127="A",5,7)),IF(OR(C127="EE",C127="CE"),IF(L127="L",3,IF(L127="A",4,6)),0)))))</f>
        <v>4</v>
      </c>
      <c r="L127" s="70" t="str">
        <f t="shared" ref="L127:L134" si="188">IF(OR(ISBLANK(E127),ISBLANK(G127)),IF(OR(C127="ALI",C127="AIE"),"L",IF(OR(C127="EE",C127="SE",C127="CE"),"A","")),IF(C127="EE",IF(G127&gt;=3,IF(E127&gt;=5,"H","A"),IF(G127&gt;=2,IF(E127&gt;=16,"H",IF(E127&lt;=4,"L","A")),IF(E127&lt;=15,"L","A"))),IF(OR(C127="SE",C127="CE"),IF(G127&gt;=4,IF(E127&gt;=6,"H","A"),IF(G127&gt;=2,IF(E127&gt;=20,"H",IF(E127&lt;=5,"L","A")),IF(E127&lt;=19,"L","A"))),IF(OR(C127="ALI",C127="AIE"),IF(G127&gt;=6,IF(E127&gt;=20,"H","A"),IF(G127&gt;=2,IF(E127&gt;=51,"H",IF(E127&lt;=19,"L","A")),IF(E127&lt;=50,"L","A"))),""))))</f>
        <v>A</v>
      </c>
      <c r="M127" s="69" t="str">
        <f t="shared" ref="M127:M134" si="189">CONCATENATE(C127,D127)</f>
        <v>EEI</v>
      </c>
      <c r="N127" s="71">
        <f t="shared" ref="N127:N134" si="190">IF(OR(K127="",K127=0),O127,K127)</f>
        <v>4</v>
      </c>
      <c r="O127" s="78">
        <f>IFERROR(IF(NOT(ISERROR(VLOOKUP(C127,'Deflatores Sisp'!G$42:H$70,2,FALSE))),VLOOKUP(C127,'Deflatores Sisp'!G$42:H$70,2,FALSE),IF(OR(ISBLANK(D127),ISBLANK(C127)),"",VLOOKUP(D127,'Deflatores Sisp'!G$4:H$38,2,FALSE)*K127+VLOOKUP(D127,'Deflatores Sisp'!G$4:I$38,3,FALSE)))*W127,"")</f>
        <v>0.2</v>
      </c>
      <c r="P127" s="120"/>
      <c r="Q127" s="68"/>
      <c r="R127" s="68"/>
      <c r="S127" s="68"/>
      <c r="T127" s="68" t="s">
        <v>59</v>
      </c>
      <c r="U127" s="68"/>
      <c r="V127" s="121"/>
      <c r="W127" s="121">
        <f t="shared" ref="W127:W134" si="191">IF(V127="",SUM(Z127:AE127),IF(C127="PA",E127,100%))</f>
        <v>0.05</v>
      </c>
      <c r="X127" s="119"/>
      <c r="Y127" s="4"/>
      <c r="Z127" s="73">
        <f t="shared" si="174"/>
        <v>0</v>
      </c>
      <c r="AA127" s="73">
        <f t="shared" ref="AA127:AA134" si="192">IF(Q127="x",10%,0)</f>
        <v>0</v>
      </c>
      <c r="AB127" s="73">
        <f t="shared" ref="AB127:AB134" si="193">IF(R127="x",40%,0)</f>
        <v>0</v>
      </c>
      <c r="AC127" s="73">
        <f t="shared" ref="AC127:AC134" si="194">IF(S127="x",15%,0)</f>
        <v>0</v>
      </c>
      <c r="AD127" s="73">
        <f t="shared" ref="AD127:AD134" si="195">IF(T127="x",5%,0)</f>
        <v>0.05</v>
      </c>
      <c r="AE127" s="73">
        <f t="shared" ref="AE127:AE134" si="196">IF(U127="x",5%,0)</f>
        <v>0</v>
      </c>
    </row>
    <row r="128" spans="1:31" ht="33" customHeight="1">
      <c r="A128" s="158" t="s">
        <v>667</v>
      </c>
      <c r="B128" s="166" t="s">
        <v>566</v>
      </c>
      <c r="C128" s="165" t="s">
        <v>60</v>
      </c>
      <c r="D128" s="154" t="s">
        <v>66</v>
      </c>
      <c r="E128" s="155">
        <v>12</v>
      </c>
      <c r="F128" s="153" t="s">
        <v>567</v>
      </c>
      <c r="G128" s="156">
        <v>4</v>
      </c>
      <c r="H128" s="157" t="s">
        <v>568</v>
      </c>
      <c r="I128" s="79" t="str">
        <f t="shared" si="185"/>
        <v>Alta</v>
      </c>
      <c r="J128" s="66" t="str">
        <f t="shared" si="186"/>
        <v>EEH</v>
      </c>
      <c r="K128" s="67">
        <f t="shared" si="187"/>
        <v>6</v>
      </c>
      <c r="L128" s="70" t="str">
        <f t="shared" si="188"/>
        <v>H</v>
      </c>
      <c r="M128" s="69" t="str">
        <f t="shared" si="189"/>
        <v>EEI</v>
      </c>
      <c r="N128" s="71">
        <f t="shared" si="190"/>
        <v>6</v>
      </c>
      <c r="O128" s="78">
        <f>IFERROR(IF(NOT(ISERROR(VLOOKUP(C128,'Deflatores Sisp'!G$42:H$70,2,FALSE))),VLOOKUP(C128,'Deflatores Sisp'!G$42:H$70,2,FALSE),IF(OR(ISBLANK(D128),ISBLANK(C128)),"",VLOOKUP(D128,'Deflatores Sisp'!G$4:H$38,2,FALSE)*K128+VLOOKUP(D128,'Deflatores Sisp'!G$4:I$38,3,FALSE)))*W128,"")</f>
        <v>0.30000000000000004</v>
      </c>
      <c r="P128" s="120"/>
      <c r="Q128" s="68"/>
      <c r="R128" s="68"/>
      <c r="S128" s="68"/>
      <c r="T128" s="68" t="s">
        <v>59</v>
      </c>
      <c r="U128" s="68"/>
      <c r="V128" s="121"/>
      <c r="W128" s="121">
        <f t="shared" si="191"/>
        <v>0.05</v>
      </c>
      <c r="X128" s="119"/>
      <c r="Y128" s="4"/>
      <c r="Z128" s="73">
        <f t="shared" si="174"/>
        <v>0</v>
      </c>
      <c r="AA128" s="73">
        <f t="shared" si="192"/>
        <v>0</v>
      </c>
      <c r="AB128" s="73">
        <f t="shared" si="193"/>
        <v>0</v>
      </c>
      <c r="AC128" s="73">
        <f t="shared" si="194"/>
        <v>0</v>
      </c>
      <c r="AD128" s="73">
        <f t="shared" si="195"/>
        <v>0.05</v>
      </c>
      <c r="AE128" s="73">
        <f t="shared" si="196"/>
        <v>0</v>
      </c>
    </row>
    <row r="129" spans="1:31" ht="33" customHeight="1">
      <c r="A129" s="158" t="s">
        <v>667</v>
      </c>
      <c r="B129" s="166" t="s">
        <v>569</v>
      </c>
      <c r="C129" s="165" t="s">
        <v>60</v>
      </c>
      <c r="D129" s="154" t="s">
        <v>66</v>
      </c>
      <c r="E129" s="155">
        <v>5</v>
      </c>
      <c r="F129" s="153" t="s">
        <v>570</v>
      </c>
      <c r="G129" s="156">
        <v>3</v>
      </c>
      <c r="H129" s="157" t="s">
        <v>571</v>
      </c>
      <c r="I129" s="79" t="str">
        <f t="shared" si="185"/>
        <v>Alta</v>
      </c>
      <c r="J129" s="66" t="str">
        <f t="shared" si="186"/>
        <v>EEH</v>
      </c>
      <c r="K129" s="67">
        <f t="shared" si="187"/>
        <v>6</v>
      </c>
      <c r="L129" s="70" t="str">
        <f t="shared" si="188"/>
        <v>H</v>
      </c>
      <c r="M129" s="69" t="str">
        <f t="shared" si="189"/>
        <v>EEI</v>
      </c>
      <c r="N129" s="71">
        <f t="shared" si="190"/>
        <v>6</v>
      </c>
      <c r="O129" s="78">
        <f>IFERROR(IF(NOT(ISERROR(VLOOKUP(C129,'Deflatores Sisp'!G$42:H$70,2,FALSE))),VLOOKUP(C129,'Deflatores Sisp'!G$42:H$70,2,FALSE),IF(OR(ISBLANK(D129),ISBLANK(C129)),"",VLOOKUP(D129,'Deflatores Sisp'!G$4:H$38,2,FALSE)*K129+VLOOKUP(D129,'Deflatores Sisp'!G$4:I$38,3,FALSE)))*W129,"")</f>
        <v>0.30000000000000004</v>
      </c>
      <c r="P129" s="120"/>
      <c r="Q129" s="68"/>
      <c r="R129" s="68"/>
      <c r="S129" s="68"/>
      <c r="T129" s="68" t="s">
        <v>59</v>
      </c>
      <c r="U129" s="68"/>
      <c r="V129" s="121"/>
      <c r="W129" s="121">
        <f t="shared" si="191"/>
        <v>0.05</v>
      </c>
      <c r="X129" s="119"/>
      <c r="Y129" s="4"/>
      <c r="Z129" s="73">
        <f t="shared" si="174"/>
        <v>0</v>
      </c>
      <c r="AA129" s="73">
        <f t="shared" si="192"/>
        <v>0</v>
      </c>
      <c r="AB129" s="73">
        <f t="shared" si="193"/>
        <v>0</v>
      </c>
      <c r="AC129" s="73">
        <f t="shared" si="194"/>
        <v>0</v>
      </c>
      <c r="AD129" s="73">
        <f t="shared" si="195"/>
        <v>0.05</v>
      </c>
      <c r="AE129" s="73">
        <f t="shared" si="196"/>
        <v>0</v>
      </c>
    </row>
    <row r="130" spans="1:31" ht="33" customHeight="1">
      <c r="A130" s="158" t="s">
        <v>667</v>
      </c>
      <c r="B130" s="166" t="s">
        <v>572</v>
      </c>
      <c r="C130" s="165" t="s">
        <v>60</v>
      </c>
      <c r="D130" s="154" t="s">
        <v>66</v>
      </c>
      <c r="E130" s="155">
        <v>14</v>
      </c>
      <c r="F130" s="153" t="s">
        <v>573</v>
      </c>
      <c r="G130" s="156">
        <v>3</v>
      </c>
      <c r="H130" s="157" t="s">
        <v>574</v>
      </c>
      <c r="I130" s="79" t="str">
        <f t="shared" si="185"/>
        <v>Alta</v>
      </c>
      <c r="J130" s="66" t="str">
        <f t="shared" si="186"/>
        <v>EEH</v>
      </c>
      <c r="K130" s="67">
        <f t="shared" si="187"/>
        <v>6</v>
      </c>
      <c r="L130" s="70" t="str">
        <f t="shared" si="188"/>
        <v>H</v>
      </c>
      <c r="M130" s="69" t="str">
        <f t="shared" si="189"/>
        <v>EEI</v>
      </c>
      <c r="N130" s="71">
        <f t="shared" si="190"/>
        <v>6</v>
      </c>
      <c r="O130" s="78">
        <f>IFERROR(IF(NOT(ISERROR(VLOOKUP(C130,'Deflatores Sisp'!G$42:H$70,2,FALSE))),VLOOKUP(C130,'Deflatores Sisp'!G$42:H$70,2,FALSE),IF(OR(ISBLANK(D130),ISBLANK(C130)),"",VLOOKUP(D130,'Deflatores Sisp'!G$4:H$38,2,FALSE)*K130+VLOOKUP(D130,'Deflatores Sisp'!G$4:I$38,3,FALSE)))*W130,"")</f>
        <v>0.30000000000000004</v>
      </c>
      <c r="P130" s="120"/>
      <c r="Q130" s="68"/>
      <c r="R130" s="68"/>
      <c r="S130" s="68"/>
      <c r="T130" s="68" t="s">
        <v>59</v>
      </c>
      <c r="U130" s="68"/>
      <c r="V130" s="121"/>
      <c r="W130" s="121">
        <f t="shared" si="191"/>
        <v>0.05</v>
      </c>
      <c r="X130" s="119"/>
      <c r="Y130" s="4"/>
      <c r="Z130" s="73">
        <f t="shared" si="174"/>
        <v>0</v>
      </c>
      <c r="AA130" s="73">
        <f t="shared" si="192"/>
        <v>0</v>
      </c>
      <c r="AB130" s="73">
        <f t="shared" si="193"/>
        <v>0</v>
      </c>
      <c r="AC130" s="73">
        <f t="shared" si="194"/>
        <v>0</v>
      </c>
      <c r="AD130" s="73">
        <f t="shared" si="195"/>
        <v>0.05</v>
      </c>
      <c r="AE130" s="73">
        <f t="shared" si="196"/>
        <v>0</v>
      </c>
    </row>
    <row r="131" spans="1:31" ht="33" customHeight="1">
      <c r="A131" s="158" t="s">
        <v>667</v>
      </c>
      <c r="B131" s="167" t="s">
        <v>575</v>
      </c>
      <c r="C131" s="165" t="s">
        <v>60</v>
      </c>
      <c r="D131" s="154" t="s">
        <v>66</v>
      </c>
      <c r="E131" s="155">
        <v>10</v>
      </c>
      <c r="F131" s="153" t="s">
        <v>576</v>
      </c>
      <c r="G131" s="156">
        <v>3</v>
      </c>
      <c r="H131" s="157" t="s">
        <v>577</v>
      </c>
      <c r="I131" s="79" t="str">
        <f t="shared" si="185"/>
        <v>Alta</v>
      </c>
      <c r="J131" s="66" t="str">
        <f t="shared" si="186"/>
        <v>EEH</v>
      </c>
      <c r="K131" s="67">
        <f t="shared" si="187"/>
        <v>6</v>
      </c>
      <c r="L131" s="70" t="str">
        <f t="shared" si="188"/>
        <v>H</v>
      </c>
      <c r="M131" s="69" t="str">
        <f t="shared" si="189"/>
        <v>EEI</v>
      </c>
      <c r="N131" s="71">
        <f t="shared" si="190"/>
        <v>6</v>
      </c>
      <c r="O131" s="78">
        <f>IFERROR(IF(NOT(ISERROR(VLOOKUP(C131,'Deflatores Sisp'!G$42:H$70,2,FALSE))),VLOOKUP(C131,'Deflatores Sisp'!G$42:H$70,2,FALSE),IF(OR(ISBLANK(D131),ISBLANK(C131)),"",VLOOKUP(D131,'Deflatores Sisp'!G$4:H$38,2,FALSE)*K131+VLOOKUP(D131,'Deflatores Sisp'!G$4:I$38,3,FALSE)))*W131,"")</f>
        <v>0.30000000000000004</v>
      </c>
      <c r="P131" s="120"/>
      <c r="Q131" s="68"/>
      <c r="R131" s="68"/>
      <c r="S131" s="68"/>
      <c r="T131" s="68" t="s">
        <v>59</v>
      </c>
      <c r="U131" s="68"/>
      <c r="V131" s="121"/>
      <c r="W131" s="121">
        <f t="shared" si="191"/>
        <v>0.05</v>
      </c>
      <c r="X131" s="119"/>
      <c r="Y131" s="4"/>
      <c r="Z131" s="73">
        <f t="shared" si="174"/>
        <v>0</v>
      </c>
      <c r="AA131" s="73">
        <f t="shared" si="192"/>
        <v>0</v>
      </c>
      <c r="AB131" s="73">
        <f t="shared" si="193"/>
        <v>0</v>
      </c>
      <c r="AC131" s="73">
        <f t="shared" si="194"/>
        <v>0</v>
      </c>
      <c r="AD131" s="73">
        <f t="shared" si="195"/>
        <v>0.05</v>
      </c>
      <c r="AE131" s="73">
        <f t="shared" si="196"/>
        <v>0</v>
      </c>
    </row>
    <row r="132" spans="1:31" ht="33" customHeight="1">
      <c r="A132" s="158" t="s">
        <v>667</v>
      </c>
      <c r="B132" s="167" t="s">
        <v>665</v>
      </c>
      <c r="C132" s="165" t="s">
        <v>60</v>
      </c>
      <c r="D132" s="154" t="s">
        <v>66</v>
      </c>
      <c r="E132" s="155">
        <v>6</v>
      </c>
      <c r="F132" s="153" t="s">
        <v>578</v>
      </c>
      <c r="G132" s="156">
        <v>2</v>
      </c>
      <c r="H132" s="157" t="s">
        <v>579</v>
      </c>
      <c r="I132" s="79" t="str">
        <f t="shared" si="185"/>
        <v>Média</v>
      </c>
      <c r="J132" s="66" t="str">
        <f t="shared" si="186"/>
        <v>EEA</v>
      </c>
      <c r="K132" s="67">
        <f t="shared" si="187"/>
        <v>4</v>
      </c>
      <c r="L132" s="70" t="str">
        <f t="shared" si="188"/>
        <v>A</v>
      </c>
      <c r="M132" s="69" t="str">
        <f t="shared" si="189"/>
        <v>EEI</v>
      </c>
      <c r="N132" s="71">
        <f t="shared" si="190"/>
        <v>4</v>
      </c>
      <c r="O132" s="78">
        <f>IFERROR(IF(NOT(ISERROR(VLOOKUP(C132,'Deflatores Sisp'!G$42:H$70,2,FALSE))),VLOOKUP(C132,'Deflatores Sisp'!G$42:H$70,2,FALSE),IF(OR(ISBLANK(D132),ISBLANK(C132)),"",VLOOKUP(D132,'Deflatores Sisp'!G$4:H$38,2,FALSE)*K132+VLOOKUP(D132,'Deflatores Sisp'!G$4:I$38,3,FALSE)))*W132,"")</f>
        <v>0.2</v>
      </c>
      <c r="P132" s="120"/>
      <c r="Q132" s="68"/>
      <c r="R132" s="68"/>
      <c r="S132" s="68"/>
      <c r="T132" s="68" t="s">
        <v>59</v>
      </c>
      <c r="U132" s="68"/>
      <c r="V132" s="121"/>
      <c r="W132" s="121">
        <f t="shared" si="191"/>
        <v>0.05</v>
      </c>
      <c r="X132" s="119"/>
      <c r="Y132" s="4"/>
      <c r="Z132" s="73">
        <f t="shared" si="174"/>
        <v>0</v>
      </c>
      <c r="AA132" s="73">
        <f t="shared" si="192"/>
        <v>0</v>
      </c>
      <c r="AB132" s="73">
        <f t="shared" si="193"/>
        <v>0</v>
      </c>
      <c r="AC132" s="73">
        <f t="shared" si="194"/>
        <v>0</v>
      </c>
      <c r="AD132" s="73">
        <f t="shared" si="195"/>
        <v>0.05</v>
      </c>
      <c r="AE132" s="73">
        <f t="shared" si="196"/>
        <v>0</v>
      </c>
    </row>
    <row r="133" spans="1:31" ht="33" customHeight="1">
      <c r="A133" s="158" t="s">
        <v>667</v>
      </c>
      <c r="B133" s="164" t="s">
        <v>580</v>
      </c>
      <c r="C133" s="165" t="s">
        <v>60</v>
      </c>
      <c r="D133" s="154" t="s">
        <v>66</v>
      </c>
      <c r="E133" s="155">
        <v>8</v>
      </c>
      <c r="F133" s="153" t="s">
        <v>581</v>
      </c>
      <c r="G133" s="156">
        <v>3</v>
      </c>
      <c r="H133" s="157" t="s">
        <v>582</v>
      </c>
      <c r="I133" s="79" t="str">
        <f t="shared" si="185"/>
        <v>Alta</v>
      </c>
      <c r="J133" s="66" t="str">
        <f t="shared" si="186"/>
        <v>EEH</v>
      </c>
      <c r="K133" s="67">
        <f t="shared" si="187"/>
        <v>6</v>
      </c>
      <c r="L133" s="70" t="str">
        <f t="shared" si="188"/>
        <v>H</v>
      </c>
      <c r="M133" s="69" t="str">
        <f t="shared" si="189"/>
        <v>EEI</v>
      </c>
      <c r="N133" s="71">
        <f t="shared" si="190"/>
        <v>6</v>
      </c>
      <c r="O133" s="78">
        <f>IFERROR(IF(NOT(ISERROR(VLOOKUP(C133,'Deflatores Sisp'!G$42:H$70,2,FALSE))),VLOOKUP(C133,'Deflatores Sisp'!G$42:H$70,2,FALSE),IF(OR(ISBLANK(D133),ISBLANK(C133)),"",VLOOKUP(D133,'Deflatores Sisp'!G$4:H$38,2,FALSE)*K133+VLOOKUP(D133,'Deflatores Sisp'!G$4:I$38,3,FALSE)))*W133,"")</f>
        <v>0.30000000000000004</v>
      </c>
      <c r="P133" s="120"/>
      <c r="Q133" s="68"/>
      <c r="R133" s="68"/>
      <c r="S133" s="68"/>
      <c r="T133" s="68" t="s">
        <v>59</v>
      </c>
      <c r="U133" s="68"/>
      <c r="V133" s="121"/>
      <c r="W133" s="121">
        <f t="shared" si="191"/>
        <v>0.05</v>
      </c>
      <c r="X133" s="119"/>
      <c r="Y133" s="4"/>
      <c r="Z133" s="73">
        <f t="shared" si="174"/>
        <v>0</v>
      </c>
      <c r="AA133" s="73">
        <f t="shared" si="192"/>
        <v>0</v>
      </c>
      <c r="AB133" s="73">
        <f t="shared" si="193"/>
        <v>0</v>
      </c>
      <c r="AC133" s="73">
        <f t="shared" si="194"/>
        <v>0</v>
      </c>
      <c r="AD133" s="73">
        <f t="shared" si="195"/>
        <v>0.05</v>
      </c>
      <c r="AE133" s="73">
        <f t="shared" si="196"/>
        <v>0</v>
      </c>
    </row>
    <row r="134" spans="1:31" ht="33" customHeight="1">
      <c r="A134" s="158" t="s">
        <v>667</v>
      </c>
      <c r="B134" s="166" t="s">
        <v>583</v>
      </c>
      <c r="C134" s="165" t="s">
        <v>60</v>
      </c>
      <c r="D134" s="154" t="s">
        <v>63</v>
      </c>
      <c r="E134" s="155">
        <v>8</v>
      </c>
      <c r="F134" s="153" t="s">
        <v>584</v>
      </c>
      <c r="G134" s="156">
        <v>3</v>
      </c>
      <c r="H134" s="157" t="s">
        <v>585</v>
      </c>
      <c r="I134" s="79" t="str">
        <f t="shared" si="185"/>
        <v>Alta</v>
      </c>
      <c r="J134" s="66" t="str">
        <f t="shared" si="186"/>
        <v>EEH</v>
      </c>
      <c r="K134" s="67">
        <f t="shared" si="187"/>
        <v>6</v>
      </c>
      <c r="L134" s="70" t="str">
        <f t="shared" si="188"/>
        <v>H</v>
      </c>
      <c r="M134" s="69" t="str">
        <f t="shared" si="189"/>
        <v>EEA</v>
      </c>
      <c r="N134" s="71">
        <f t="shared" si="190"/>
        <v>6</v>
      </c>
      <c r="O134" s="78">
        <f>IFERROR(IF(NOT(ISERROR(VLOOKUP(C134,'Deflatores Sisp'!G$42:H$70,2,FALSE))),VLOOKUP(C134,'Deflatores Sisp'!G$42:H$70,2,FALSE),IF(OR(ISBLANK(D134),ISBLANK(C134)),"",VLOOKUP(D134,'Deflatores Sisp'!G$4:H$38,2,FALSE)*K134+VLOOKUP(D134,'Deflatores Sisp'!G$4:I$38,3,FALSE)))*W134,"")</f>
        <v>0.24000000000000005</v>
      </c>
      <c r="P134" s="120"/>
      <c r="Q134" s="68"/>
      <c r="R134" s="68"/>
      <c r="S134" s="68"/>
      <c r="T134" s="68" t="s">
        <v>59</v>
      </c>
      <c r="U134" s="68"/>
      <c r="V134" s="121"/>
      <c r="W134" s="121">
        <f t="shared" si="191"/>
        <v>0.05</v>
      </c>
      <c r="X134" s="119"/>
      <c r="Y134" s="4"/>
      <c r="Z134" s="73">
        <f t="shared" si="174"/>
        <v>0</v>
      </c>
      <c r="AA134" s="73">
        <f t="shared" si="192"/>
        <v>0</v>
      </c>
      <c r="AB134" s="73">
        <f t="shared" si="193"/>
        <v>0</v>
      </c>
      <c r="AC134" s="73">
        <f t="shared" si="194"/>
        <v>0</v>
      </c>
      <c r="AD134" s="73">
        <f t="shared" si="195"/>
        <v>0.05</v>
      </c>
      <c r="AE134" s="73">
        <f t="shared" si="196"/>
        <v>0</v>
      </c>
    </row>
    <row r="135" spans="1:31" ht="33" customHeight="1">
      <c r="A135" s="158" t="s">
        <v>667</v>
      </c>
      <c r="B135" s="166" t="s">
        <v>586</v>
      </c>
      <c r="C135" s="165" t="s">
        <v>60</v>
      </c>
      <c r="D135" s="154" t="s">
        <v>63</v>
      </c>
      <c r="E135" s="155">
        <v>4</v>
      </c>
      <c r="F135" s="153" t="s">
        <v>587</v>
      </c>
      <c r="G135" s="156">
        <v>1</v>
      </c>
      <c r="H135" s="157" t="s">
        <v>588</v>
      </c>
      <c r="I135" s="79" t="str">
        <f t="shared" ref="I135" si="197">IF(ISBLANK(C135),"",IF(L135="L","Baixa",IF(L135="A","Média",IF(L135="","","Alta"))))</f>
        <v>Baixa</v>
      </c>
      <c r="J135" s="66" t="str">
        <f t="shared" ref="J135" si="198">CONCATENATE(C135,L135)</f>
        <v>EEL</v>
      </c>
      <c r="K135" s="67">
        <f t="shared" ref="K135" si="199">IF(ISBLANK(C135),"",IF(C135="ALI",IF(L135="L",7,IF(L135="A",10,15)),IF(C135="AIE",IF(L135="L",5,IF(L135="A",7,10)),IF(C135="SE",IF(L135="L",4,IF(L135="A",5,7)),IF(OR(C135="EE",C135="CE"),IF(L135="L",3,IF(L135="A",4,6)),0)))))</f>
        <v>3</v>
      </c>
      <c r="L135" s="70" t="str">
        <f t="shared" ref="L135" si="200">IF(OR(ISBLANK(E135),ISBLANK(G135)),IF(OR(C135="ALI",C135="AIE"),"L",IF(OR(C135="EE",C135="SE",C135="CE"),"A","")),IF(C135="EE",IF(G135&gt;=3,IF(E135&gt;=5,"H","A"),IF(G135&gt;=2,IF(E135&gt;=16,"H",IF(E135&lt;=4,"L","A")),IF(E135&lt;=15,"L","A"))),IF(OR(C135="SE",C135="CE"),IF(G135&gt;=4,IF(E135&gt;=6,"H","A"),IF(G135&gt;=2,IF(E135&gt;=20,"H",IF(E135&lt;=5,"L","A")),IF(E135&lt;=19,"L","A"))),IF(OR(C135="ALI",C135="AIE"),IF(G135&gt;=6,IF(E135&gt;=20,"H","A"),IF(G135&gt;=2,IF(E135&gt;=51,"H",IF(E135&lt;=19,"L","A")),IF(E135&lt;=50,"L","A"))),""))))</f>
        <v>L</v>
      </c>
      <c r="M135" s="69" t="str">
        <f t="shared" ref="M135" si="201">CONCATENATE(C135,D135)</f>
        <v>EEA</v>
      </c>
      <c r="N135" s="71">
        <f t="shared" ref="N135" si="202">IF(OR(K135="",K135=0),O135,K135)</f>
        <v>3</v>
      </c>
      <c r="O135" s="78">
        <f>IFERROR(IF(NOT(ISERROR(VLOOKUP(C135,'Deflatores Sisp'!G$42:H$70,2,FALSE))),VLOOKUP(C135,'Deflatores Sisp'!G$42:H$70,2,FALSE),IF(OR(ISBLANK(D135),ISBLANK(C135)),"",VLOOKUP(D135,'Deflatores Sisp'!G$4:H$38,2,FALSE)*K135+VLOOKUP(D135,'Deflatores Sisp'!G$4:I$38,3,FALSE)))*W135,"")</f>
        <v>0.12000000000000002</v>
      </c>
      <c r="P135" s="120"/>
      <c r="Q135" s="68"/>
      <c r="R135" s="68"/>
      <c r="S135" s="68"/>
      <c r="T135" s="68" t="s">
        <v>59</v>
      </c>
      <c r="U135" s="68"/>
      <c r="V135" s="121"/>
      <c r="W135" s="121">
        <f t="shared" ref="W135" si="203">IF(V135="",SUM(Z135:AE135),IF(C135="PA",E135,100%))</f>
        <v>0.05</v>
      </c>
      <c r="X135" s="119"/>
      <c r="Y135" s="4"/>
      <c r="Z135" s="73">
        <f t="shared" si="174"/>
        <v>0</v>
      </c>
      <c r="AA135" s="73">
        <f t="shared" ref="AA135" si="204">IF(Q135="x",10%,0)</f>
        <v>0</v>
      </c>
      <c r="AB135" s="73">
        <f t="shared" ref="AB135" si="205">IF(R135="x",40%,0)</f>
        <v>0</v>
      </c>
      <c r="AC135" s="73">
        <f t="shared" ref="AC135" si="206">IF(S135="x",15%,0)</f>
        <v>0</v>
      </c>
      <c r="AD135" s="73">
        <f t="shared" ref="AD135" si="207">IF(T135="x",5%,0)</f>
        <v>0.05</v>
      </c>
      <c r="AE135" s="73">
        <f t="shared" ref="AE135" si="208">IF(U135="x",5%,0)</f>
        <v>0</v>
      </c>
    </row>
    <row r="136" spans="1:31" ht="33" customHeight="1">
      <c r="A136" s="158" t="s">
        <v>667</v>
      </c>
      <c r="B136" s="166" t="s">
        <v>666</v>
      </c>
      <c r="C136" s="165" t="s">
        <v>60</v>
      </c>
      <c r="D136" s="154" t="s">
        <v>66</v>
      </c>
      <c r="E136" s="155">
        <v>8</v>
      </c>
      <c r="F136" s="153" t="s">
        <v>589</v>
      </c>
      <c r="G136" s="156">
        <v>3</v>
      </c>
      <c r="H136" s="157" t="s">
        <v>590</v>
      </c>
      <c r="I136" s="79" t="str">
        <f t="shared" ref="I136:I162" si="209">IF(ISBLANK(C136),"",IF(L136="L","Baixa",IF(L136="A","Média",IF(L136="","","Alta"))))</f>
        <v>Alta</v>
      </c>
      <c r="J136" s="66" t="str">
        <f t="shared" ref="J136:J162" si="210">CONCATENATE(C136,L136)</f>
        <v>EEH</v>
      </c>
      <c r="K136" s="67">
        <f t="shared" ref="K136:K162" si="211">IF(ISBLANK(C136),"",IF(C136="ALI",IF(L136="L",7,IF(L136="A",10,15)),IF(C136="AIE",IF(L136="L",5,IF(L136="A",7,10)),IF(C136="SE",IF(L136="L",4,IF(L136="A",5,7)),IF(OR(C136="EE",C136="CE"),IF(L136="L",3,IF(L136="A",4,6)),0)))))</f>
        <v>6</v>
      </c>
      <c r="L136" s="70" t="str">
        <f t="shared" ref="L136:L162" si="212">IF(OR(ISBLANK(E136),ISBLANK(G136)),IF(OR(C136="ALI",C136="AIE"),"L",IF(OR(C136="EE",C136="SE",C136="CE"),"A","")),IF(C136="EE",IF(G136&gt;=3,IF(E136&gt;=5,"H","A"),IF(G136&gt;=2,IF(E136&gt;=16,"H",IF(E136&lt;=4,"L","A")),IF(E136&lt;=15,"L","A"))),IF(OR(C136="SE",C136="CE"),IF(G136&gt;=4,IF(E136&gt;=6,"H","A"),IF(G136&gt;=2,IF(E136&gt;=20,"H",IF(E136&lt;=5,"L","A")),IF(E136&lt;=19,"L","A"))),IF(OR(C136="ALI",C136="AIE"),IF(G136&gt;=6,IF(E136&gt;=20,"H","A"),IF(G136&gt;=2,IF(E136&gt;=51,"H",IF(E136&lt;=19,"L","A")),IF(E136&lt;=50,"L","A"))),""))))</f>
        <v>H</v>
      </c>
      <c r="M136" s="69" t="str">
        <f t="shared" ref="M136:M162" si="213">CONCATENATE(C136,D136)</f>
        <v>EEI</v>
      </c>
      <c r="N136" s="71">
        <f t="shared" ref="N136:N164" si="214">IF(OR(K136="",K136=0),O136,K136)</f>
        <v>6</v>
      </c>
      <c r="O136" s="78">
        <f>IFERROR(IF(NOT(ISERROR(VLOOKUP(C136,'Deflatores Sisp'!G$42:H$70,2,FALSE))),VLOOKUP(C136,'Deflatores Sisp'!G$42:H$70,2,FALSE),IF(OR(ISBLANK(D136),ISBLANK(C136)),"",VLOOKUP(D136,'Deflatores Sisp'!G$4:H$38,2,FALSE)*K136+VLOOKUP(D136,'Deflatores Sisp'!G$4:I$38,3,FALSE)))*W136,"")</f>
        <v>0.30000000000000004</v>
      </c>
      <c r="P136" s="120"/>
      <c r="Q136" s="68"/>
      <c r="R136" s="68"/>
      <c r="S136" s="68"/>
      <c r="T136" s="68" t="s">
        <v>59</v>
      </c>
      <c r="U136" s="68"/>
      <c r="V136" s="121"/>
      <c r="W136" s="121">
        <f t="shared" ref="W136:W162" si="215">IF(V136="",SUM(Z136:AE136),IF(C136="PA",E136,100%))</f>
        <v>0.05</v>
      </c>
      <c r="X136" s="119"/>
      <c r="Y136" s="4"/>
      <c r="Z136" s="73">
        <f t="shared" si="174"/>
        <v>0</v>
      </c>
      <c r="AA136" s="73">
        <f t="shared" ref="AA136:AA164" si="216">IF(Q136="x",10%,0)</f>
        <v>0</v>
      </c>
      <c r="AB136" s="73">
        <f t="shared" ref="AB136:AB164" si="217">IF(R136="x",40%,0)</f>
        <v>0</v>
      </c>
      <c r="AC136" s="73">
        <f t="shared" ref="AC136:AC164" si="218">IF(S136="x",15%,0)</f>
        <v>0</v>
      </c>
      <c r="AD136" s="73">
        <f t="shared" ref="AD136:AD164" si="219">IF(T136="x",5%,0)</f>
        <v>0.05</v>
      </c>
      <c r="AE136" s="73">
        <f t="shared" ref="AE136:AE164" si="220">IF(U136="x",5%,0)</f>
        <v>0</v>
      </c>
    </row>
    <row r="137" spans="1:31" ht="33" customHeight="1">
      <c r="A137" s="158" t="s">
        <v>667</v>
      </c>
      <c r="B137" s="166" t="s">
        <v>591</v>
      </c>
      <c r="C137" s="165" t="s">
        <v>57</v>
      </c>
      <c r="D137" s="154" t="s">
        <v>66</v>
      </c>
      <c r="E137" s="155">
        <v>22</v>
      </c>
      <c r="F137" s="153" t="s">
        <v>592</v>
      </c>
      <c r="G137" s="156">
        <v>5</v>
      </c>
      <c r="H137" s="157" t="s">
        <v>593</v>
      </c>
      <c r="I137" s="79" t="str">
        <f t="shared" si="209"/>
        <v>Alta</v>
      </c>
      <c r="J137" s="66" t="str">
        <f t="shared" si="210"/>
        <v>SEH</v>
      </c>
      <c r="K137" s="67">
        <f t="shared" si="211"/>
        <v>7</v>
      </c>
      <c r="L137" s="70" t="str">
        <f t="shared" si="212"/>
        <v>H</v>
      </c>
      <c r="M137" s="69" t="str">
        <f t="shared" si="213"/>
        <v>SEI</v>
      </c>
      <c r="N137" s="71">
        <f t="shared" si="214"/>
        <v>7</v>
      </c>
      <c r="O137" s="78">
        <f>IFERROR(IF(NOT(ISERROR(VLOOKUP(C137,'Deflatores Sisp'!G$42:H$70,2,FALSE))),VLOOKUP(C137,'Deflatores Sisp'!G$42:H$70,2,FALSE),IF(OR(ISBLANK(D137),ISBLANK(C137)),"",VLOOKUP(D137,'Deflatores Sisp'!G$4:H$38,2,FALSE)*K137+VLOOKUP(D137,'Deflatores Sisp'!G$4:I$38,3,FALSE)))*W137,"")</f>
        <v>0.35000000000000003</v>
      </c>
      <c r="P137" s="120"/>
      <c r="Q137" s="68"/>
      <c r="R137" s="68"/>
      <c r="S137" s="68"/>
      <c r="T137" s="68" t="s">
        <v>59</v>
      </c>
      <c r="U137" s="68"/>
      <c r="V137" s="121"/>
      <c r="W137" s="121">
        <f t="shared" si="215"/>
        <v>0.05</v>
      </c>
      <c r="X137" s="119"/>
      <c r="Y137" s="4"/>
      <c r="Z137" s="73">
        <f t="shared" si="174"/>
        <v>0</v>
      </c>
      <c r="AA137" s="73">
        <f t="shared" si="216"/>
        <v>0</v>
      </c>
      <c r="AB137" s="73">
        <f t="shared" si="217"/>
        <v>0</v>
      </c>
      <c r="AC137" s="73">
        <f t="shared" si="218"/>
        <v>0</v>
      </c>
      <c r="AD137" s="73">
        <f t="shared" si="219"/>
        <v>0.05</v>
      </c>
      <c r="AE137" s="73">
        <f t="shared" si="220"/>
        <v>0</v>
      </c>
    </row>
    <row r="138" spans="1:31" ht="33" customHeight="1">
      <c r="A138" s="158" t="s">
        <v>667</v>
      </c>
      <c r="B138" s="166" t="s">
        <v>594</v>
      </c>
      <c r="C138" s="165" t="s">
        <v>57</v>
      </c>
      <c r="D138" s="154" t="s">
        <v>66</v>
      </c>
      <c r="E138" s="155">
        <v>12</v>
      </c>
      <c r="F138" s="153" t="s">
        <v>595</v>
      </c>
      <c r="G138" s="156">
        <v>3</v>
      </c>
      <c r="H138" s="157" t="s">
        <v>596</v>
      </c>
      <c r="I138" s="79" t="str">
        <f t="shared" si="209"/>
        <v>Média</v>
      </c>
      <c r="J138" s="66" t="str">
        <f t="shared" si="210"/>
        <v>SEA</v>
      </c>
      <c r="K138" s="67">
        <f t="shared" si="211"/>
        <v>5</v>
      </c>
      <c r="L138" s="70" t="str">
        <f t="shared" si="212"/>
        <v>A</v>
      </c>
      <c r="M138" s="69" t="str">
        <f t="shared" si="213"/>
        <v>SEI</v>
      </c>
      <c r="N138" s="71">
        <f t="shared" si="214"/>
        <v>5</v>
      </c>
      <c r="O138" s="78">
        <f>IFERROR(IF(NOT(ISERROR(VLOOKUP(C138,'Deflatores Sisp'!G$42:H$70,2,FALSE))),VLOOKUP(C138,'Deflatores Sisp'!G$42:H$70,2,FALSE),IF(OR(ISBLANK(D138),ISBLANK(C138)),"",VLOOKUP(D138,'Deflatores Sisp'!G$4:H$38,2,FALSE)*K138+VLOOKUP(D138,'Deflatores Sisp'!G$4:I$38,3,FALSE)))*W138,"")</f>
        <v>0.25</v>
      </c>
      <c r="P138" s="120"/>
      <c r="Q138" s="68"/>
      <c r="R138" s="68"/>
      <c r="S138" s="68"/>
      <c r="T138" s="68" t="s">
        <v>59</v>
      </c>
      <c r="U138" s="68"/>
      <c r="V138" s="121"/>
      <c r="W138" s="121">
        <f t="shared" si="215"/>
        <v>0.05</v>
      </c>
      <c r="X138" s="119"/>
      <c r="Y138" s="4"/>
      <c r="Z138" s="73">
        <f t="shared" si="174"/>
        <v>0</v>
      </c>
      <c r="AA138" s="73">
        <f t="shared" si="216"/>
        <v>0</v>
      </c>
      <c r="AB138" s="73">
        <f t="shared" si="217"/>
        <v>0</v>
      </c>
      <c r="AC138" s="73">
        <f t="shared" si="218"/>
        <v>0</v>
      </c>
      <c r="AD138" s="73">
        <f t="shared" si="219"/>
        <v>0.05</v>
      </c>
      <c r="AE138" s="73">
        <f t="shared" si="220"/>
        <v>0</v>
      </c>
    </row>
    <row r="139" spans="1:31" ht="33" customHeight="1">
      <c r="A139" s="158" t="s">
        <v>667</v>
      </c>
      <c r="B139" s="166" t="s">
        <v>597</v>
      </c>
      <c r="C139" s="165" t="s">
        <v>57</v>
      </c>
      <c r="D139" s="154" t="s">
        <v>66</v>
      </c>
      <c r="E139" s="155">
        <v>15</v>
      </c>
      <c r="F139" s="153" t="s">
        <v>598</v>
      </c>
      <c r="G139" s="156">
        <v>2</v>
      </c>
      <c r="H139" s="157" t="s">
        <v>599</v>
      </c>
      <c r="I139" s="79" t="str">
        <f t="shared" si="209"/>
        <v>Média</v>
      </c>
      <c r="J139" s="66" t="str">
        <f t="shared" si="210"/>
        <v>SEA</v>
      </c>
      <c r="K139" s="67">
        <f t="shared" si="211"/>
        <v>5</v>
      </c>
      <c r="L139" s="70" t="str">
        <f t="shared" si="212"/>
        <v>A</v>
      </c>
      <c r="M139" s="69" t="str">
        <f t="shared" si="213"/>
        <v>SEI</v>
      </c>
      <c r="N139" s="71">
        <f t="shared" si="214"/>
        <v>5</v>
      </c>
      <c r="O139" s="78">
        <f>IFERROR(IF(NOT(ISERROR(VLOOKUP(C139,'Deflatores Sisp'!G$42:H$70,2,FALSE))),VLOOKUP(C139,'Deflatores Sisp'!G$42:H$70,2,FALSE),IF(OR(ISBLANK(D139),ISBLANK(C139)),"",VLOOKUP(D139,'Deflatores Sisp'!G$4:H$38,2,FALSE)*K139+VLOOKUP(D139,'Deflatores Sisp'!G$4:I$38,3,FALSE)))*W139,"")</f>
        <v>0.25</v>
      </c>
      <c r="P139" s="120"/>
      <c r="Q139" s="68"/>
      <c r="R139" s="68"/>
      <c r="S139" s="68"/>
      <c r="T139" s="68" t="s">
        <v>59</v>
      </c>
      <c r="U139" s="68"/>
      <c r="V139" s="121"/>
      <c r="W139" s="121">
        <f t="shared" si="215"/>
        <v>0.05</v>
      </c>
      <c r="X139" s="119"/>
      <c r="Y139" s="4"/>
      <c r="Z139" s="73">
        <f t="shared" si="174"/>
        <v>0</v>
      </c>
      <c r="AA139" s="73">
        <f t="shared" si="216"/>
        <v>0</v>
      </c>
      <c r="AB139" s="73">
        <f t="shared" si="217"/>
        <v>0</v>
      </c>
      <c r="AC139" s="73">
        <f t="shared" si="218"/>
        <v>0</v>
      </c>
      <c r="AD139" s="73">
        <f t="shared" si="219"/>
        <v>0.05</v>
      </c>
      <c r="AE139" s="73">
        <f t="shared" si="220"/>
        <v>0</v>
      </c>
    </row>
    <row r="140" spans="1:31" ht="33" customHeight="1">
      <c r="A140" s="158" t="s">
        <v>667</v>
      </c>
      <c r="B140" s="166" t="s">
        <v>600</v>
      </c>
      <c r="C140" s="165" t="s">
        <v>57</v>
      </c>
      <c r="D140" s="154" t="s">
        <v>66</v>
      </c>
      <c r="E140" s="155">
        <v>10</v>
      </c>
      <c r="F140" s="153" t="s">
        <v>601</v>
      </c>
      <c r="G140" s="156">
        <v>3</v>
      </c>
      <c r="H140" s="157" t="s">
        <v>602</v>
      </c>
      <c r="I140" s="79" t="str">
        <f t="shared" si="209"/>
        <v>Média</v>
      </c>
      <c r="J140" s="66" t="str">
        <f t="shared" si="210"/>
        <v>SEA</v>
      </c>
      <c r="K140" s="67">
        <f t="shared" si="211"/>
        <v>5</v>
      </c>
      <c r="L140" s="70" t="str">
        <f t="shared" si="212"/>
        <v>A</v>
      </c>
      <c r="M140" s="69" t="str">
        <f t="shared" si="213"/>
        <v>SEI</v>
      </c>
      <c r="N140" s="71">
        <f t="shared" si="214"/>
        <v>5</v>
      </c>
      <c r="O140" s="78">
        <f>IFERROR(IF(NOT(ISERROR(VLOOKUP(C140,'Deflatores Sisp'!G$42:H$70,2,FALSE))),VLOOKUP(C140,'Deflatores Sisp'!G$42:H$70,2,FALSE),IF(OR(ISBLANK(D140),ISBLANK(C140)),"",VLOOKUP(D140,'Deflatores Sisp'!G$4:H$38,2,FALSE)*K140+VLOOKUP(D140,'Deflatores Sisp'!G$4:I$38,3,FALSE)))*W140,"")</f>
        <v>0.25</v>
      </c>
      <c r="P140" s="120"/>
      <c r="Q140" s="68"/>
      <c r="R140" s="68"/>
      <c r="S140" s="68"/>
      <c r="T140" s="68" t="s">
        <v>59</v>
      </c>
      <c r="U140" s="68"/>
      <c r="V140" s="121"/>
      <c r="W140" s="121">
        <f t="shared" si="215"/>
        <v>0.05</v>
      </c>
      <c r="X140" s="119"/>
      <c r="Y140" s="4"/>
      <c r="Z140" s="73">
        <f t="shared" si="174"/>
        <v>0</v>
      </c>
      <c r="AA140" s="73">
        <f t="shared" si="216"/>
        <v>0</v>
      </c>
      <c r="AB140" s="73">
        <f t="shared" si="217"/>
        <v>0</v>
      </c>
      <c r="AC140" s="73">
        <f t="shared" si="218"/>
        <v>0</v>
      </c>
      <c r="AD140" s="73">
        <f t="shared" si="219"/>
        <v>0.05</v>
      </c>
      <c r="AE140" s="73">
        <f t="shared" si="220"/>
        <v>0</v>
      </c>
    </row>
    <row r="141" spans="1:31" ht="33" customHeight="1">
      <c r="A141" s="158" t="s">
        <v>667</v>
      </c>
      <c r="B141" s="166" t="s">
        <v>603</v>
      </c>
      <c r="C141" s="165" t="s">
        <v>57</v>
      </c>
      <c r="D141" s="154" t="s">
        <v>66</v>
      </c>
      <c r="E141" s="155">
        <v>18</v>
      </c>
      <c r="F141" s="153" t="s">
        <v>604</v>
      </c>
      <c r="G141" s="156">
        <v>4</v>
      </c>
      <c r="H141" s="157" t="s">
        <v>605</v>
      </c>
      <c r="I141" s="79" t="str">
        <f t="shared" si="209"/>
        <v>Alta</v>
      </c>
      <c r="J141" s="66" t="str">
        <f t="shared" si="210"/>
        <v>SEH</v>
      </c>
      <c r="K141" s="67">
        <f t="shared" si="211"/>
        <v>7</v>
      </c>
      <c r="L141" s="70" t="str">
        <f t="shared" si="212"/>
        <v>H</v>
      </c>
      <c r="M141" s="69" t="str">
        <f t="shared" si="213"/>
        <v>SEI</v>
      </c>
      <c r="N141" s="71">
        <f t="shared" si="214"/>
        <v>7</v>
      </c>
      <c r="O141" s="78">
        <f>IFERROR(IF(NOT(ISERROR(VLOOKUP(C141,'Deflatores Sisp'!G$42:H$70,2,FALSE))),VLOOKUP(C141,'Deflatores Sisp'!G$42:H$70,2,FALSE),IF(OR(ISBLANK(D141),ISBLANK(C141)),"",VLOOKUP(D141,'Deflatores Sisp'!G$4:H$38,2,FALSE)*K141+VLOOKUP(D141,'Deflatores Sisp'!G$4:I$38,3,FALSE)))*W141,"")</f>
        <v>0.35000000000000003</v>
      </c>
      <c r="P141" s="120"/>
      <c r="Q141" s="68"/>
      <c r="R141" s="68"/>
      <c r="S141" s="68"/>
      <c r="T141" s="68" t="s">
        <v>59</v>
      </c>
      <c r="U141" s="68"/>
      <c r="V141" s="121"/>
      <c r="W141" s="121">
        <f t="shared" si="215"/>
        <v>0.05</v>
      </c>
      <c r="X141" s="119"/>
      <c r="Y141" s="4"/>
      <c r="Z141" s="73">
        <f t="shared" si="174"/>
        <v>0</v>
      </c>
      <c r="AA141" s="73">
        <f t="shared" si="216"/>
        <v>0</v>
      </c>
      <c r="AB141" s="73">
        <f t="shared" si="217"/>
        <v>0</v>
      </c>
      <c r="AC141" s="73">
        <f t="shared" si="218"/>
        <v>0</v>
      </c>
      <c r="AD141" s="73">
        <f t="shared" si="219"/>
        <v>0.05</v>
      </c>
      <c r="AE141" s="73">
        <f t="shared" si="220"/>
        <v>0</v>
      </c>
    </row>
    <row r="142" spans="1:31" ht="33" customHeight="1">
      <c r="A142" s="158" t="s">
        <v>667</v>
      </c>
      <c r="B142" s="166" t="s">
        <v>606</v>
      </c>
      <c r="C142" s="165" t="s">
        <v>57</v>
      </c>
      <c r="D142" s="154" t="s">
        <v>66</v>
      </c>
      <c r="E142" s="155">
        <v>14</v>
      </c>
      <c r="F142" s="153" t="s">
        <v>607</v>
      </c>
      <c r="G142" s="156">
        <v>4</v>
      </c>
      <c r="H142" s="157" t="s">
        <v>608</v>
      </c>
      <c r="I142" s="79" t="str">
        <f t="shared" si="209"/>
        <v>Alta</v>
      </c>
      <c r="J142" s="66" t="str">
        <f t="shared" si="210"/>
        <v>SEH</v>
      </c>
      <c r="K142" s="67">
        <f t="shared" si="211"/>
        <v>7</v>
      </c>
      <c r="L142" s="70" t="str">
        <f t="shared" si="212"/>
        <v>H</v>
      </c>
      <c r="M142" s="69" t="str">
        <f t="shared" si="213"/>
        <v>SEI</v>
      </c>
      <c r="N142" s="71">
        <f t="shared" si="214"/>
        <v>7</v>
      </c>
      <c r="O142" s="78">
        <f>IFERROR(IF(NOT(ISERROR(VLOOKUP(C142,'Deflatores Sisp'!G$42:H$70,2,FALSE))),VLOOKUP(C142,'Deflatores Sisp'!G$42:H$70,2,FALSE),IF(OR(ISBLANK(D142),ISBLANK(C142)),"",VLOOKUP(D142,'Deflatores Sisp'!G$4:H$38,2,FALSE)*K142+VLOOKUP(D142,'Deflatores Sisp'!G$4:I$38,3,FALSE)))*W142,"")</f>
        <v>0.35000000000000003</v>
      </c>
      <c r="P142" s="120"/>
      <c r="Q142" s="68"/>
      <c r="R142" s="68"/>
      <c r="S142" s="68"/>
      <c r="T142" s="68" t="s">
        <v>59</v>
      </c>
      <c r="U142" s="68"/>
      <c r="V142" s="121"/>
      <c r="W142" s="121">
        <f t="shared" si="215"/>
        <v>0.05</v>
      </c>
      <c r="X142" s="119"/>
      <c r="Y142" s="4"/>
      <c r="Z142" s="73">
        <f t="shared" si="174"/>
        <v>0</v>
      </c>
      <c r="AA142" s="73">
        <f t="shared" si="216"/>
        <v>0</v>
      </c>
      <c r="AB142" s="73">
        <f t="shared" si="217"/>
        <v>0</v>
      </c>
      <c r="AC142" s="73">
        <f t="shared" si="218"/>
        <v>0</v>
      </c>
      <c r="AD142" s="73">
        <f t="shared" si="219"/>
        <v>0.05</v>
      </c>
      <c r="AE142" s="73">
        <f t="shared" si="220"/>
        <v>0</v>
      </c>
    </row>
    <row r="143" spans="1:31" ht="33" customHeight="1">
      <c r="A143" s="158" t="s">
        <v>667</v>
      </c>
      <c r="B143" s="166" t="s">
        <v>609</v>
      </c>
      <c r="C143" s="165" t="s">
        <v>57</v>
      </c>
      <c r="D143" s="154" t="s">
        <v>66</v>
      </c>
      <c r="E143" s="155">
        <v>12</v>
      </c>
      <c r="F143" s="153" t="s">
        <v>610</v>
      </c>
      <c r="G143" s="156">
        <v>3</v>
      </c>
      <c r="H143" s="157" t="s">
        <v>611</v>
      </c>
      <c r="I143" s="79" t="str">
        <f t="shared" si="209"/>
        <v>Média</v>
      </c>
      <c r="J143" s="66" t="str">
        <f t="shared" si="210"/>
        <v>SEA</v>
      </c>
      <c r="K143" s="67">
        <f t="shared" si="211"/>
        <v>5</v>
      </c>
      <c r="L143" s="70" t="str">
        <f t="shared" si="212"/>
        <v>A</v>
      </c>
      <c r="M143" s="69" t="str">
        <f t="shared" si="213"/>
        <v>SEI</v>
      </c>
      <c r="N143" s="71">
        <f t="shared" si="214"/>
        <v>5</v>
      </c>
      <c r="O143" s="78">
        <f>IFERROR(IF(NOT(ISERROR(VLOOKUP(C143,'Deflatores Sisp'!G$42:H$70,2,FALSE))),VLOOKUP(C143,'Deflatores Sisp'!G$42:H$70,2,FALSE),IF(OR(ISBLANK(D143),ISBLANK(C143)),"",VLOOKUP(D143,'Deflatores Sisp'!G$4:H$38,2,FALSE)*K143+VLOOKUP(D143,'Deflatores Sisp'!G$4:I$38,3,FALSE)))*W143,"")</f>
        <v>0.25</v>
      </c>
      <c r="P143" s="120"/>
      <c r="Q143" s="68"/>
      <c r="R143" s="68"/>
      <c r="S143" s="68"/>
      <c r="T143" s="68" t="s">
        <v>59</v>
      </c>
      <c r="U143" s="68"/>
      <c r="V143" s="121"/>
      <c r="W143" s="121">
        <f t="shared" si="215"/>
        <v>0.05</v>
      </c>
      <c r="X143" s="119"/>
      <c r="Y143" s="4"/>
      <c r="Z143" s="73">
        <f t="shared" ref="Z143:Z164" si="221">IF(P143="x",25%,0)</f>
        <v>0</v>
      </c>
      <c r="AA143" s="73">
        <f t="shared" si="216"/>
        <v>0</v>
      </c>
      <c r="AB143" s="73">
        <f t="shared" si="217"/>
        <v>0</v>
      </c>
      <c r="AC143" s="73">
        <f t="shared" si="218"/>
        <v>0</v>
      </c>
      <c r="AD143" s="73">
        <f t="shared" si="219"/>
        <v>0.05</v>
      </c>
      <c r="AE143" s="73">
        <f t="shared" si="220"/>
        <v>0</v>
      </c>
    </row>
    <row r="144" spans="1:31" ht="33" customHeight="1">
      <c r="A144" s="158" t="s">
        <v>667</v>
      </c>
      <c r="B144" s="166" t="s">
        <v>612</v>
      </c>
      <c r="C144" s="165" t="s">
        <v>57</v>
      </c>
      <c r="D144" s="154" t="s">
        <v>66</v>
      </c>
      <c r="E144" s="155">
        <v>15</v>
      </c>
      <c r="F144" s="153" t="s">
        <v>613</v>
      </c>
      <c r="G144" s="156">
        <v>4</v>
      </c>
      <c r="H144" s="157" t="s">
        <v>614</v>
      </c>
      <c r="I144" s="79" t="str">
        <f t="shared" si="209"/>
        <v>Alta</v>
      </c>
      <c r="J144" s="66" t="str">
        <f t="shared" si="210"/>
        <v>SEH</v>
      </c>
      <c r="K144" s="67">
        <f t="shared" si="211"/>
        <v>7</v>
      </c>
      <c r="L144" s="70" t="str">
        <f t="shared" si="212"/>
        <v>H</v>
      </c>
      <c r="M144" s="69" t="str">
        <f t="shared" si="213"/>
        <v>SEI</v>
      </c>
      <c r="N144" s="71">
        <f t="shared" si="214"/>
        <v>7</v>
      </c>
      <c r="O144" s="78">
        <f>IFERROR(IF(NOT(ISERROR(VLOOKUP(C144,'Deflatores Sisp'!G$42:H$70,2,FALSE))),VLOOKUP(C144,'Deflatores Sisp'!G$42:H$70,2,FALSE),IF(OR(ISBLANK(D144),ISBLANK(C144)),"",VLOOKUP(D144,'Deflatores Sisp'!G$4:H$38,2,FALSE)*K144+VLOOKUP(D144,'Deflatores Sisp'!G$4:I$38,3,FALSE)))*W144,"")</f>
        <v>0.35000000000000003</v>
      </c>
      <c r="P144" s="120"/>
      <c r="Q144" s="68"/>
      <c r="R144" s="68"/>
      <c r="S144" s="68"/>
      <c r="T144" s="68" t="s">
        <v>59</v>
      </c>
      <c r="U144" s="68"/>
      <c r="V144" s="121"/>
      <c r="W144" s="121">
        <f t="shared" si="215"/>
        <v>0.05</v>
      </c>
      <c r="X144" s="119"/>
      <c r="Y144" s="4"/>
      <c r="Z144" s="73">
        <f t="shared" si="221"/>
        <v>0</v>
      </c>
      <c r="AA144" s="73">
        <f t="shared" si="216"/>
        <v>0</v>
      </c>
      <c r="AB144" s="73">
        <f t="shared" si="217"/>
        <v>0</v>
      </c>
      <c r="AC144" s="73">
        <f t="shared" si="218"/>
        <v>0</v>
      </c>
      <c r="AD144" s="73">
        <f t="shared" si="219"/>
        <v>0.05</v>
      </c>
      <c r="AE144" s="73">
        <f t="shared" si="220"/>
        <v>0</v>
      </c>
    </row>
    <row r="145" spans="1:31" ht="33" customHeight="1">
      <c r="A145" s="158" t="s">
        <v>667</v>
      </c>
      <c r="B145" s="166" t="s">
        <v>615</v>
      </c>
      <c r="C145" s="165" t="s">
        <v>57</v>
      </c>
      <c r="D145" s="154" t="s">
        <v>66</v>
      </c>
      <c r="E145" s="155">
        <v>10</v>
      </c>
      <c r="F145" s="153" t="s">
        <v>616</v>
      </c>
      <c r="G145" s="156">
        <v>3</v>
      </c>
      <c r="H145" s="157" t="s">
        <v>617</v>
      </c>
      <c r="I145" s="79" t="str">
        <f t="shared" si="209"/>
        <v>Média</v>
      </c>
      <c r="J145" s="66" t="str">
        <f t="shared" si="210"/>
        <v>SEA</v>
      </c>
      <c r="K145" s="67">
        <f t="shared" si="211"/>
        <v>5</v>
      </c>
      <c r="L145" s="70" t="str">
        <f t="shared" si="212"/>
        <v>A</v>
      </c>
      <c r="M145" s="69" t="str">
        <f t="shared" si="213"/>
        <v>SEI</v>
      </c>
      <c r="N145" s="71">
        <f t="shared" si="214"/>
        <v>5</v>
      </c>
      <c r="O145" s="78">
        <f>IFERROR(IF(NOT(ISERROR(VLOOKUP(C145,'Deflatores Sisp'!G$42:H$70,2,FALSE))),VLOOKUP(C145,'Deflatores Sisp'!G$42:H$70,2,FALSE),IF(OR(ISBLANK(D145),ISBLANK(C145)),"",VLOOKUP(D145,'Deflatores Sisp'!G$4:H$38,2,FALSE)*K145+VLOOKUP(D145,'Deflatores Sisp'!G$4:I$38,3,FALSE)))*W145,"")</f>
        <v>0.25</v>
      </c>
      <c r="P145" s="120"/>
      <c r="Q145" s="68"/>
      <c r="R145" s="68"/>
      <c r="S145" s="68"/>
      <c r="T145" s="68" t="s">
        <v>59</v>
      </c>
      <c r="U145" s="68"/>
      <c r="V145" s="121"/>
      <c r="W145" s="121">
        <f t="shared" si="215"/>
        <v>0.05</v>
      </c>
      <c r="X145" s="119"/>
      <c r="Y145" s="4"/>
      <c r="Z145" s="73">
        <f t="shared" si="221"/>
        <v>0</v>
      </c>
      <c r="AA145" s="73">
        <f t="shared" si="216"/>
        <v>0</v>
      </c>
      <c r="AB145" s="73">
        <f t="shared" si="217"/>
        <v>0</v>
      </c>
      <c r="AC145" s="73">
        <f t="shared" si="218"/>
        <v>0</v>
      </c>
      <c r="AD145" s="73">
        <f t="shared" si="219"/>
        <v>0.05</v>
      </c>
      <c r="AE145" s="73">
        <f t="shared" si="220"/>
        <v>0</v>
      </c>
    </row>
    <row r="146" spans="1:31" ht="33" customHeight="1">
      <c r="A146" s="158" t="s">
        <v>667</v>
      </c>
      <c r="B146" s="166" t="s">
        <v>618</v>
      </c>
      <c r="C146" s="165" t="s">
        <v>57</v>
      </c>
      <c r="D146" s="154" t="s">
        <v>66</v>
      </c>
      <c r="E146" s="155">
        <v>12</v>
      </c>
      <c r="F146" s="153" t="s">
        <v>619</v>
      </c>
      <c r="G146" s="156">
        <v>3</v>
      </c>
      <c r="H146" s="157" t="s">
        <v>620</v>
      </c>
      <c r="I146" s="79" t="str">
        <f t="shared" si="209"/>
        <v>Média</v>
      </c>
      <c r="J146" s="66" t="str">
        <f t="shared" si="210"/>
        <v>SEA</v>
      </c>
      <c r="K146" s="67">
        <f t="shared" si="211"/>
        <v>5</v>
      </c>
      <c r="L146" s="70" t="str">
        <f t="shared" si="212"/>
        <v>A</v>
      </c>
      <c r="M146" s="69" t="str">
        <f t="shared" si="213"/>
        <v>SEI</v>
      </c>
      <c r="N146" s="71">
        <f t="shared" si="214"/>
        <v>5</v>
      </c>
      <c r="O146" s="78">
        <f>IFERROR(IF(NOT(ISERROR(VLOOKUP(C146,'Deflatores Sisp'!G$42:H$70,2,FALSE))),VLOOKUP(C146,'Deflatores Sisp'!G$42:H$70,2,FALSE),IF(OR(ISBLANK(D146),ISBLANK(C146)),"",VLOOKUP(D146,'Deflatores Sisp'!G$4:H$38,2,FALSE)*K146+VLOOKUP(D146,'Deflatores Sisp'!G$4:I$38,3,FALSE)))*W146,"")</f>
        <v>0.25</v>
      </c>
      <c r="P146" s="120"/>
      <c r="Q146" s="68"/>
      <c r="R146" s="68"/>
      <c r="S146" s="68"/>
      <c r="T146" s="68" t="s">
        <v>59</v>
      </c>
      <c r="U146" s="68"/>
      <c r="V146" s="121"/>
      <c r="W146" s="121">
        <f t="shared" si="215"/>
        <v>0.05</v>
      </c>
      <c r="X146" s="119"/>
      <c r="Y146" s="4"/>
      <c r="Z146" s="73">
        <f t="shared" si="221"/>
        <v>0</v>
      </c>
      <c r="AA146" s="73">
        <f t="shared" si="216"/>
        <v>0</v>
      </c>
      <c r="AB146" s="73">
        <f t="shared" si="217"/>
        <v>0</v>
      </c>
      <c r="AC146" s="73">
        <f t="shared" si="218"/>
        <v>0</v>
      </c>
      <c r="AD146" s="73">
        <f t="shared" si="219"/>
        <v>0.05</v>
      </c>
      <c r="AE146" s="73">
        <f t="shared" si="220"/>
        <v>0</v>
      </c>
    </row>
    <row r="147" spans="1:31" ht="33" customHeight="1">
      <c r="A147" s="158" t="s">
        <v>667</v>
      </c>
      <c r="B147" s="166" t="s">
        <v>621</v>
      </c>
      <c r="C147" s="165" t="s">
        <v>57</v>
      </c>
      <c r="D147" s="154" t="s">
        <v>66</v>
      </c>
      <c r="E147" s="155">
        <v>8</v>
      </c>
      <c r="F147" s="153" t="s">
        <v>622</v>
      </c>
      <c r="G147" s="156">
        <v>2</v>
      </c>
      <c r="H147" s="157" t="s">
        <v>623</v>
      </c>
      <c r="I147" s="79" t="str">
        <f t="shared" si="209"/>
        <v>Média</v>
      </c>
      <c r="J147" s="66" t="str">
        <f t="shared" si="210"/>
        <v>SEA</v>
      </c>
      <c r="K147" s="67">
        <f t="shared" si="211"/>
        <v>5</v>
      </c>
      <c r="L147" s="70" t="str">
        <f t="shared" si="212"/>
        <v>A</v>
      </c>
      <c r="M147" s="69" t="str">
        <f t="shared" si="213"/>
        <v>SEI</v>
      </c>
      <c r="N147" s="71">
        <f t="shared" si="214"/>
        <v>5</v>
      </c>
      <c r="O147" s="78">
        <f>IFERROR(IF(NOT(ISERROR(VLOOKUP(C147,'Deflatores Sisp'!G$42:H$70,2,FALSE))),VLOOKUP(C147,'Deflatores Sisp'!G$42:H$70,2,FALSE),IF(OR(ISBLANK(D147),ISBLANK(C147)),"",VLOOKUP(D147,'Deflatores Sisp'!G$4:H$38,2,FALSE)*K147+VLOOKUP(D147,'Deflatores Sisp'!G$4:I$38,3,FALSE)))*W147,"")</f>
        <v>0.25</v>
      </c>
      <c r="P147" s="120"/>
      <c r="Q147" s="68"/>
      <c r="R147" s="68"/>
      <c r="S147" s="68"/>
      <c r="T147" s="68" t="s">
        <v>59</v>
      </c>
      <c r="U147" s="68"/>
      <c r="V147" s="121"/>
      <c r="W147" s="121">
        <f t="shared" si="215"/>
        <v>0.05</v>
      </c>
      <c r="X147" s="119"/>
      <c r="Y147" s="4"/>
      <c r="Z147" s="73">
        <f t="shared" si="221"/>
        <v>0</v>
      </c>
      <c r="AA147" s="73">
        <f t="shared" si="216"/>
        <v>0</v>
      </c>
      <c r="AB147" s="73">
        <f t="shared" si="217"/>
        <v>0</v>
      </c>
      <c r="AC147" s="73">
        <f t="shared" si="218"/>
        <v>0</v>
      </c>
      <c r="AD147" s="73">
        <f t="shared" si="219"/>
        <v>0.05</v>
      </c>
      <c r="AE147" s="73">
        <f t="shared" si="220"/>
        <v>0</v>
      </c>
    </row>
    <row r="148" spans="1:31" ht="33" customHeight="1">
      <c r="A148" s="158" t="s">
        <v>667</v>
      </c>
      <c r="B148" s="166" t="s">
        <v>624</v>
      </c>
      <c r="C148" s="165" t="s">
        <v>57</v>
      </c>
      <c r="D148" s="154" t="s">
        <v>66</v>
      </c>
      <c r="E148" s="155">
        <v>10</v>
      </c>
      <c r="F148" s="153" t="s">
        <v>625</v>
      </c>
      <c r="G148" s="156">
        <v>3</v>
      </c>
      <c r="H148" s="157" t="s">
        <v>626</v>
      </c>
      <c r="I148" s="79" t="str">
        <f t="shared" si="209"/>
        <v>Média</v>
      </c>
      <c r="J148" s="66" t="str">
        <f t="shared" si="210"/>
        <v>SEA</v>
      </c>
      <c r="K148" s="67">
        <f t="shared" si="211"/>
        <v>5</v>
      </c>
      <c r="L148" s="70" t="str">
        <f t="shared" si="212"/>
        <v>A</v>
      </c>
      <c r="M148" s="69" t="str">
        <f t="shared" si="213"/>
        <v>SEI</v>
      </c>
      <c r="N148" s="71">
        <f t="shared" si="214"/>
        <v>5</v>
      </c>
      <c r="O148" s="78">
        <f>IFERROR(IF(NOT(ISERROR(VLOOKUP(C148,'Deflatores Sisp'!G$42:H$70,2,FALSE))),VLOOKUP(C148,'Deflatores Sisp'!G$42:H$70,2,FALSE),IF(OR(ISBLANK(D148),ISBLANK(C148)),"",VLOOKUP(D148,'Deflatores Sisp'!G$4:H$38,2,FALSE)*K148+VLOOKUP(D148,'Deflatores Sisp'!G$4:I$38,3,FALSE)))*W148,"")</f>
        <v>0.25</v>
      </c>
      <c r="P148" s="120"/>
      <c r="Q148" s="68"/>
      <c r="R148" s="68"/>
      <c r="S148" s="68"/>
      <c r="T148" s="68" t="s">
        <v>59</v>
      </c>
      <c r="U148" s="68"/>
      <c r="V148" s="121"/>
      <c r="W148" s="121">
        <f t="shared" si="215"/>
        <v>0.05</v>
      </c>
      <c r="X148" s="119"/>
      <c r="Y148" s="4"/>
      <c r="Z148" s="73">
        <f t="shared" si="221"/>
        <v>0</v>
      </c>
      <c r="AA148" s="73">
        <f t="shared" si="216"/>
        <v>0</v>
      </c>
      <c r="AB148" s="73">
        <f t="shared" si="217"/>
        <v>0</v>
      </c>
      <c r="AC148" s="73">
        <f t="shared" si="218"/>
        <v>0</v>
      </c>
      <c r="AD148" s="73">
        <f t="shared" si="219"/>
        <v>0.05</v>
      </c>
      <c r="AE148" s="73">
        <f t="shared" si="220"/>
        <v>0</v>
      </c>
    </row>
    <row r="149" spans="1:31" ht="33" customHeight="1">
      <c r="A149" s="158" t="s">
        <v>667</v>
      </c>
      <c r="B149" s="166" t="s">
        <v>627</v>
      </c>
      <c r="C149" s="165" t="s">
        <v>64</v>
      </c>
      <c r="D149" s="154" t="s">
        <v>66</v>
      </c>
      <c r="E149" s="155">
        <v>10</v>
      </c>
      <c r="F149" s="153" t="s">
        <v>628</v>
      </c>
      <c r="G149" s="156">
        <v>2</v>
      </c>
      <c r="H149" s="157" t="s">
        <v>629</v>
      </c>
      <c r="I149" s="79" t="str">
        <f t="shared" si="209"/>
        <v>Média</v>
      </c>
      <c r="J149" s="66" t="str">
        <f t="shared" si="210"/>
        <v>CEA</v>
      </c>
      <c r="K149" s="67">
        <f t="shared" si="211"/>
        <v>4</v>
      </c>
      <c r="L149" s="70" t="str">
        <f t="shared" si="212"/>
        <v>A</v>
      </c>
      <c r="M149" s="69" t="str">
        <f t="shared" si="213"/>
        <v>CEI</v>
      </c>
      <c r="N149" s="71">
        <f t="shared" si="214"/>
        <v>4</v>
      </c>
      <c r="O149" s="78">
        <f>IFERROR(IF(NOT(ISERROR(VLOOKUP(C149,'Deflatores Sisp'!G$42:H$70,2,FALSE))),VLOOKUP(C149,'Deflatores Sisp'!G$42:H$70,2,FALSE),IF(OR(ISBLANK(D149),ISBLANK(C149)),"",VLOOKUP(D149,'Deflatores Sisp'!G$4:H$38,2,FALSE)*K149+VLOOKUP(D149,'Deflatores Sisp'!G$4:I$38,3,FALSE)))*W149,"")</f>
        <v>0.2</v>
      </c>
      <c r="P149" s="120"/>
      <c r="Q149" s="68"/>
      <c r="R149" s="68"/>
      <c r="S149" s="68"/>
      <c r="T149" s="68" t="s">
        <v>59</v>
      </c>
      <c r="U149" s="68"/>
      <c r="V149" s="121"/>
      <c r="W149" s="121">
        <f t="shared" si="215"/>
        <v>0.05</v>
      </c>
      <c r="X149" s="119"/>
      <c r="Y149" s="4"/>
      <c r="Z149" s="73">
        <f t="shared" si="221"/>
        <v>0</v>
      </c>
      <c r="AA149" s="73">
        <f t="shared" si="216"/>
        <v>0</v>
      </c>
      <c r="AB149" s="73">
        <f t="shared" si="217"/>
        <v>0</v>
      </c>
      <c r="AC149" s="73">
        <f t="shared" si="218"/>
        <v>0</v>
      </c>
      <c r="AD149" s="73">
        <f t="shared" si="219"/>
        <v>0.05</v>
      </c>
      <c r="AE149" s="73">
        <f t="shared" si="220"/>
        <v>0</v>
      </c>
    </row>
    <row r="150" spans="1:31" ht="33" customHeight="1">
      <c r="A150" s="158" t="s">
        <v>667</v>
      </c>
      <c r="B150" s="166" t="s">
        <v>630</v>
      </c>
      <c r="C150" s="165" t="s">
        <v>64</v>
      </c>
      <c r="D150" s="154" t="s">
        <v>66</v>
      </c>
      <c r="E150" s="155">
        <v>6</v>
      </c>
      <c r="F150" s="153" t="s">
        <v>631</v>
      </c>
      <c r="G150" s="156">
        <v>1</v>
      </c>
      <c r="H150" s="157" t="s">
        <v>446</v>
      </c>
      <c r="I150" s="79" t="str">
        <f t="shared" si="209"/>
        <v>Baixa</v>
      </c>
      <c r="J150" s="66" t="str">
        <f t="shared" si="210"/>
        <v>CEL</v>
      </c>
      <c r="K150" s="67">
        <f t="shared" si="211"/>
        <v>3</v>
      </c>
      <c r="L150" s="70" t="str">
        <f t="shared" si="212"/>
        <v>L</v>
      </c>
      <c r="M150" s="69" t="str">
        <f t="shared" si="213"/>
        <v>CEI</v>
      </c>
      <c r="N150" s="71">
        <f t="shared" si="214"/>
        <v>3</v>
      </c>
      <c r="O150" s="78">
        <f>IFERROR(IF(NOT(ISERROR(VLOOKUP(C150,'Deflatores Sisp'!G$42:H$70,2,FALSE))),VLOOKUP(C150,'Deflatores Sisp'!G$42:H$70,2,FALSE),IF(OR(ISBLANK(D150),ISBLANK(C150)),"",VLOOKUP(D150,'Deflatores Sisp'!G$4:H$38,2,FALSE)*K150+VLOOKUP(D150,'Deflatores Sisp'!G$4:I$38,3,FALSE)))*W150,"")</f>
        <v>0.15000000000000002</v>
      </c>
      <c r="P150" s="120"/>
      <c r="Q150" s="68"/>
      <c r="R150" s="68"/>
      <c r="S150" s="68"/>
      <c r="T150" s="68" t="s">
        <v>59</v>
      </c>
      <c r="U150" s="68"/>
      <c r="V150" s="121"/>
      <c r="W150" s="121">
        <f t="shared" si="215"/>
        <v>0.05</v>
      </c>
      <c r="X150" s="119"/>
      <c r="Y150" s="4"/>
      <c r="Z150" s="73">
        <f t="shared" si="221"/>
        <v>0</v>
      </c>
      <c r="AA150" s="73">
        <f t="shared" si="216"/>
        <v>0</v>
      </c>
      <c r="AB150" s="73">
        <f t="shared" si="217"/>
        <v>0</v>
      </c>
      <c r="AC150" s="73">
        <f t="shared" si="218"/>
        <v>0</v>
      </c>
      <c r="AD150" s="73">
        <f t="shared" si="219"/>
        <v>0.05</v>
      </c>
      <c r="AE150" s="73">
        <f t="shared" si="220"/>
        <v>0</v>
      </c>
    </row>
    <row r="151" spans="1:31" ht="33" customHeight="1">
      <c r="A151" s="158" t="s">
        <v>667</v>
      </c>
      <c r="B151" s="166" t="s">
        <v>632</v>
      </c>
      <c r="C151" s="165" t="s">
        <v>64</v>
      </c>
      <c r="D151" s="154" t="s">
        <v>66</v>
      </c>
      <c r="E151" s="155">
        <v>12</v>
      </c>
      <c r="F151" s="153" t="s">
        <v>633</v>
      </c>
      <c r="G151" s="156">
        <v>1</v>
      </c>
      <c r="H151" s="157" t="s">
        <v>448</v>
      </c>
      <c r="I151" s="79" t="str">
        <f t="shared" si="209"/>
        <v>Baixa</v>
      </c>
      <c r="J151" s="66" t="str">
        <f t="shared" si="210"/>
        <v>CEL</v>
      </c>
      <c r="K151" s="67">
        <f t="shared" si="211"/>
        <v>3</v>
      </c>
      <c r="L151" s="70" t="str">
        <f t="shared" si="212"/>
        <v>L</v>
      </c>
      <c r="M151" s="69" t="str">
        <f t="shared" si="213"/>
        <v>CEI</v>
      </c>
      <c r="N151" s="71">
        <f t="shared" si="214"/>
        <v>3</v>
      </c>
      <c r="O151" s="78">
        <f>IFERROR(IF(NOT(ISERROR(VLOOKUP(C151,'Deflatores Sisp'!G$42:H$70,2,FALSE))),VLOOKUP(C151,'Deflatores Sisp'!G$42:H$70,2,FALSE),IF(OR(ISBLANK(D151),ISBLANK(C151)),"",VLOOKUP(D151,'Deflatores Sisp'!G$4:H$38,2,FALSE)*K151+VLOOKUP(D151,'Deflatores Sisp'!G$4:I$38,3,FALSE)))*W151,"")</f>
        <v>0.15000000000000002</v>
      </c>
      <c r="P151" s="120"/>
      <c r="Q151" s="68"/>
      <c r="R151" s="68"/>
      <c r="S151" s="68"/>
      <c r="T151" s="68" t="s">
        <v>59</v>
      </c>
      <c r="U151" s="68"/>
      <c r="V151" s="121"/>
      <c r="W151" s="121">
        <f t="shared" si="215"/>
        <v>0.05</v>
      </c>
      <c r="X151" s="119"/>
      <c r="Y151" s="4"/>
      <c r="Z151" s="73">
        <f t="shared" si="221"/>
        <v>0</v>
      </c>
      <c r="AA151" s="73">
        <f t="shared" si="216"/>
        <v>0</v>
      </c>
      <c r="AB151" s="73">
        <f t="shared" si="217"/>
        <v>0</v>
      </c>
      <c r="AC151" s="73">
        <f t="shared" si="218"/>
        <v>0</v>
      </c>
      <c r="AD151" s="73">
        <f t="shared" si="219"/>
        <v>0.05</v>
      </c>
      <c r="AE151" s="73">
        <f t="shared" si="220"/>
        <v>0</v>
      </c>
    </row>
    <row r="152" spans="1:31" ht="33" customHeight="1">
      <c r="A152" s="158" t="s">
        <v>667</v>
      </c>
      <c r="B152" s="166" t="s">
        <v>634</v>
      </c>
      <c r="C152" s="165" t="s">
        <v>64</v>
      </c>
      <c r="D152" s="154" t="s">
        <v>66</v>
      </c>
      <c r="E152" s="155">
        <v>8</v>
      </c>
      <c r="F152" s="153" t="s">
        <v>635</v>
      </c>
      <c r="G152" s="156">
        <v>1</v>
      </c>
      <c r="H152" s="157" t="s">
        <v>447</v>
      </c>
      <c r="I152" s="79" t="str">
        <f t="shared" si="209"/>
        <v>Baixa</v>
      </c>
      <c r="J152" s="66" t="str">
        <f t="shared" si="210"/>
        <v>CEL</v>
      </c>
      <c r="K152" s="67">
        <f t="shared" si="211"/>
        <v>3</v>
      </c>
      <c r="L152" s="70" t="str">
        <f t="shared" si="212"/>
        <v>L</v>
      </c>
      <c r="M152" s="69" t="str">
        <f t="shared" si="213"/>
        <v>CEI</v>
      </c>
      <c r="N152" s="71">
        <f t="shared" si="214"/>
        <v>3</v>
      </c>
      <c r="O152" s="78">
        <f>IFERROR(IF(NOT(ISERROR(VLOOKUP(C152,'Deflatores Sisp'!G$42:H$70,2,FALSE))),VLOOKUP(C152,'Deflatores Sisp'!G$42:H$70,2,FALSE),IF(OR(ISBLANK(D152),ISBLANK(C152)),"",VLOOKUP(D152,'Deflatores Sisp'!G$4:H$38,2,FALSE)*K152+VLOOKUP(D152,'Deflatores Sisp'!G$4:I$38,3,FALSE)))*W152,"")</f>
        <v>0.15000000000000002</v>
      </c>
      <c r="P152" s="120"/>
      <c r="Q152" s="68"/>
      <c r="R152" s="68"/>
      <c r="S152" s="68"/>
      <c r="T152" s="68" t="s">
        <v>59</v>
      </c>
      <c r="U152" s="68"/>
      <c r="V152" s="121"/>
      <c r="W152" s="121">
        <f t="shared" si="215"/>
        <v>0.05</v>
      </c>
      <c r="X152" s="119"/>
      <c r="Y152" s="4"/>
      <c r="Z152" s="73">
        <f t="shared" si="221"/>
        <v>0</v>
      </c>
      <c r="AA152" s="73">
        <f t="shared" si="216"/>
        <v>0</v>
      </c>
      <c r="AB152" s="73">
        <f t="shared" si="217"/>
        <v>0</v>
      </c>
      <c r="AC152" s="73">
        <f t="shared" si="218"/>
        <v>0</v>
      </c>
      <c r="AD152" s="73">
        <f t="shared" si="219"/>
        <v>0.05</v>
      </c>
      <c r="AE152" s="73">
        <f t="shared" si="220"/>
        <v>0</v>
      </c>
    </row>
    <row r="153" spans="1:31" ht="33" customHeight="1">
      <c r="A153" s="158" t="s">
        <v>667</v>
      </c>
      <c r="B153" s="166" t="s">
        <v>636</v>
      </c>
      <c r="C153" s="165" t="s">
        <v>64</v>
      </c>
      <c r="D153" s="154" t="s">
        <v>66</v>
      </c>
      <c r="E153" s="155">
        <v>8</v>
      </c>
      <c r="F153" s="153" t="s">
        <v>637</v>
      </c>
      <c r="G153" s="156">
        <v>2</v>
      </c>
      <c r="H153" s="157" t="s">
        <v>638</v>
      </c>
      <c r="I153" s="79" t="str">
        <f t="shared" si="209"/>
        <v>Média</v>
      </c>
      <c r="J153" s="66" t="str">
        <f t="shared" si="210"/>
        <v>CEA</v>
      </c>
      <c r="K153" s="67">
        <f t="shared" si="211"/>
        <v>4</v>
      </c>
      <c r="L153" s="70" t="str">
        <f t="shared" si="212"/>
        <v>A</v>
      </c>
      <c r="M153" s="69" t="str">
        <f t="shared" si="213"/>
        <v>CEI</v>
      </c>
      <c r="N153" s="71">
        <f t="shared" si="214"/>
        <v>4</v>
      </c>
      <c r="O153" s="78">
        <f>IFERROR(IF(NOT(ISERROR(VLOOKUP(C153,'Deflatores Sisp'!G$42:H$70,2,FALSE))),VLOOKUP(C153,'Deflatores Sisp'!G$42:H$70,2,FALSE),IF(OR(ISBLANK(D153),ISBLANK(C153)),"",VLOOKUP(D153,'Deflatores Sisp'!G$4:H$38,2,FALSE)*K153+VLOOKUP(D153,'Deflatores Sisp'!G$4:I$38,3,FALSE)))*W153,"")</f>
        <v>0.2</v>
      </c>
      <c r="P153" s="120"/>
      <c r="Q153" s="68"/>
      <c r="R153" s="68"/>
      <c r="S153" s="68"/>
      <c r="T153" s="68" t="s">
        <v>59</v>
      </c>
      <c r="U153" s="68"/>
      <c r="V153" s="121"/>
      <c r="W153" s="121">
        <f t="shared" si="215"/>
        <v>0.05</v>
      </c>
      <c r="X153" s="119"/>
      <c r="Y153" s="4"/>
      <c r="Z153" s="73">
        <f t="shared" si="221"/>
        <v>0</v>
      </c>
      <c r="AA153" s="73">
        <f t="shared" si="216"/>
        <v>0</v>
      </c>
      <c r="AB153" s="73">
        <f t="shared" si="217"/>
        <v>0</v>
      </c>
      <c r="AC153" s="73">
        <f t="shared" si="218"/>
        <v>0</v>
      </c>
      <c r="AD153" s="73">
        <f t="shared" si="219"/>
        <v>0.05</v>
      </c>
      <c r="AE153" s="73">
        <f t="shared" si="220"/>
        <v>0</v>
      </c>
    </row>
    <row r="154" spans="1:31" ht="33" customHeight="1">
      <c r="A154" s="158" t="s">
        <v>667</v>
      </c>
      <c r="B154" s="166" t="s">
        <v>639</v>
      </c>
      <c r="C154" s="165" t="s">
        <v>64</v>
      </c>
      <c r="D154" s="154" t="s">
        <v>66</v>
      </c>
      <c r="E154" s="155">
        <v>8</v>
      </c>
      <c r="F154" s="153" t="s">
        <v>640</v>
      </c>
      <c r="G154" s="156">
        <v>2</v>
      </c>
      <c r="H154" s="157" t="s">
        <v>641</v>
      </c>
      <c r="I154" s="79" t="str">
        <f t="shared" si="209"/>
        <v>Média</v>
      </c>
      <c r="J154" s="66" t="str">
        <f t="shared" si="210"/>
        <v>CEA</v>
      </c>
      <c r="K154" s="67">
        <f t="shared" si="211"/>
        <v>4</v>
      </c>
      <c r="L154" s="70" t="str">
        <f t="shared" si="212"/>
        <v>A</v>
      </c>
      <c r="M154" s="69" t="str">
        <f t="shared" si="213"/>
        <v>CEI</v>
      </c>
      <c r="N154" s="71">
        <f t="shared" si="214"/>
        <v>4</v>
      </c>
      <c r="O154" s="78">
        <f>IFERROR(IF(NOT(ISERROR(VLOOKUP(C154,'Deflatores Sisp'!G$42:H$70,2,FALSE))),VLOOKUP(C154,'Deflatores Sisp'!G$42:H$70,2,FALSE),IF(OR(ISBLANK(D154),ISBLANK(C154)),"",VLOOKUP(D154,'Deflatores Sisp'!G$4:H$38,2,FALSE)*K154+VLOOKUP(D154,'Deflatores Sisp'!G$4:I$38,3,FALSE)))*W154,"")</f>
        <v>0.2</v>
      </c>
      <c r="P154" s="120"/>
      <c r="Q154" s="68"/>
      <c r="R154" s="68"/>
      <c r="S154" s="68"/>
      <c r="T154" s="68" t="s">
        <v>59</v>
      </c>
      <c r="U154" s="68"/>
      <c r="V154" s="121"/>
      <c r="W154" s="121">
        <f t="shared" si="215"/>
        <v>0.05</v>
      </c>
      <c r="X154" s="119"/>
      <c r="Y154" s="4"/>
      <c r="Z154" s="73">
        <f t="shared" si="221"/>
        <v>0</v>
      </c>
      <c r="AA154" s="73">
        <f t="shared" si="216"/>
        <v>0</v>
      </c>
      <c r="AB154" s="73">
        <f t="shared" si="217"/>
        <v>0</v>
      </c>
      <c r="AC154" s="73">
        <f t="shared" si="218"/>
        <v>0</v>
      </c>
      <c r="AD154" s="73">
        <f t="shared" si="219"/>
        <v>0.05</v>
      </c>
      <c r="AE154" s="73">
        <f t="shared" si="220"/>
        <v>0</v>
      </c>
    </row>
    <row r="155" spans="1:31" ht="33" customHeight="1">
      <c r="A155" s="158" t="s">
        <v>667</v>
      </c>
      <c r="B155" s="166" t="s">
        <v>642</v>
      </c>
      <c r="C155" s="165" t="s">
        <v>64</v>
      </c>
      <c r="D155" s="154" t="s">
        <v>66</v>
      </c>
      <c r="E155" s="155">
        <v>10</v>
      </c>
      <c r="F155" s="153" t="s">
        <v>643</v>
      </c>
      <c r="G155" s="156">
        <v>2</v>
      </c>
      <c r="H155" s="157" t="s">
        <v>644</v>
      </c>
      <c r="I155" s="79" t="str">
        <f t="shared" si="209"/>
        <v>Média</v>
      </c>
      <c r="J155" s="66" t="str">
        <f t="shared" si="210"/>
        <v>CEA</v>
      </c>
      <c r="K155" s="67">
        <f t="shared" si="211"/>
        <v>4</v>
      </c>
      <c r="L155" s="70" t="str">
        <f t="shared" si="212"/>
        <v>A</v>
      </c>
      <c r="M155" s="69" t="str">
        <f t="shared" si="213"/>
        <v>CEI</v>
      </c>
      <c r="N155" s="71">
        <f t="shared" si="214"/>
        <v>4</v>
      </c>
      <c r="O155" s="78">
        <f>IFERROR(IF(NOT(ISERROR(VLOOKUP(C155,'Deflatores Sisp'!G$42:H$70,2,FALSE))),VLOOKUP(C155,'Deflatores Sisp'!G$42:H$70,2,FALSE),IF(OR(ISBLANK(D155),ISBLANK(C155)),"",VLOOKUP(D155,'Deflatores Sisp'!G$4:H$38,2,FALSE)*K155+VLOOKUP(D155,'Deflatores Sisp'!G$4:I$38,3,FALSE)))*W155,"")</f>
        <v>0.2</v>
      </c>
      <c r="P155" s="120"/>
      <c r="Q155" s="68"/>
      <c r="R155" s="68"/>
      <c r="S155" s="68"/>
      <c r="T155" s="68" t="s">
        <v>59</v>
      </c>
      <c r="U155" s="68"/>
      <c r="V155" s="121"/>
      <c r="W155" s="121">
        <f t="shared" si="215"/>
        <v>0.05</v>
      </c>
      <c r="X155" s="119"/>
      <c r="Y155" s="4"/>
      <c r="Z155" s="73">
        <f t="shared" si="221"/>
        <v>0</v>
      </c>
      <c r="AA155" s="73">
        <f t="shared" si="216"/>
        <v>0</v>
      </c>
      <c r="AB155" s="73">
        <f t="shared" si="217"/>
        <v>0</v>
      </c>
      <c r="AC155" s="73">
        <f t="shared" si="218"/>
        <v>0</v>
      </c>
      <c r="AD155" s="73">
        <f t="shared" si="219"/>
        <v>0.05</v>
      </c>
      <c r="AE155" s="73">
        <f t="shared" si="220"/>
        <v>0</v>
      </c>
    </row>
    <row r="156" spans="1:31" ht="33" customHeight="1">
      <c r="A156" s="158" t="s">
        <v>667</v>
      </c>
      <c r="B156" s="166" t="s">
        <v>645</v>
      </c>
      <c r="C156" s="165" t="s">
        <v>64</v>
      </c>
      <c r="D156" s="154" t="s">
        <v>66</v>
      </c>
      <c r="E156" s="155">
        <v>8</v>
      </c>
      <c r="F156" s="153" t="s">
        <v>646</v>
      </c>
      <c r="G156" s="156">
        <v>4</v>
      </c>
      <c r="H156" s="157" t="s">
        <v>647</v>
      </c>
      <c r="I156" s="79" t="str">
        <f t="shared" si="209"/>
        <v>Alta</v>
      </c>
      <c r="J156" s="66" t="str">
        <f t="shared" si="210"/>
        <v>CEH</v>
      </c>
      <c r="K156" s="67">
        <f t="shared" si="211"/>
        <v>6</v>
      </c>
      <c r="L156" s="70" t="str">
        <f t="shared" si="212"/>
        <v>H</v>
      </c>
      <c r="M156" s="69" t="str">
        <f t="shared" si="213"/>
        <v>CEI</v>
      </c>
      <c r="N156" s="71">
        <f t="shared" si="214"/>
        <v>6</v>
      </c>
      <c r="O156" s="78">
        <f>IFERROR(IF(NOT(ISERROR(VLOOKUP(C156,'Deflatores Sisp'!G$42:H$70,2,FALSE))),VLOOKUP(C156,'Deflatores Sisp'!G$42:H$70,2,FALSE),IF(OR(ISBLANK(D156),ISBLANK(C156)),"",VLOOKUP(D156,'Deflatores Sisp'!G$4:H$38,2,FALSE)*K156+VLOOKUP(D156,'Deflatores Sisp'!G$4:I$38,3,FALSE)))*W156,"")</f>
        <v>0.30000000000000004</v>
      </c>
      <c r="P156" s="120"/>
      <c r="Q156" s="68"/>
      <c r="R156" s="68"/>
      <c r="S156" s="68"/>
      <c r="T156" s="68" t="s">
        <v>59</v>
      </c>
      <c r="U156" s="68"/>
      <c r="V156" s="121"/>
      <c r="W156" s="121">
        <f t="shared" si="215"/>
        <v>0.05</v>
      </c>
      <c r="X156" s="119"/>
      <c r="Y156" s="4"/>
      <c r="Z156" s="73">
        <f t="shared" si="221"/>
        <v>0</v>
      </c>
      <c r="AA156" s="73">
        <f t="shared" si="216"/>
        <v>0</v>
      </c>
      <c r="AB156" s="73">
        <f t="shared" si="217"/>
        <v>0</v>
      </c>
      <c r="AC156" s="73">
        <f t="shared" si="218"/>
        <v>0</v>
      </c>
      <c r="AD156" s="73">
        <f t="shared" si="219"/>
        <v>0.05</v>
      </c>
      <c r="AE156" s="73">
        <f t="shared" si="220"/>
        <v>0</v>
      </c>
    </row>
    <row r="157" spans="1:31" ht="33" customHeight="1">
      <c r="A157" s="158" t="s">
        <v>667</v>
      </c>
      <c r="B157" s="166" t="s">
        <v>648</v>
      </c>
      <c r="C157" s="165" t="s">
        <v>64</v>
      </c>
      <c r="D157" s="154" t="s">
        <v>66</v>
      </c>
      <c r="E157" s="155">
        <v>10</v>
      </c>
      <c r="F157" s="153" t="s">
        <v>649</v>
      </c>
      <c r="G157" s="156">
        <v>2</v>
      </c>
      <c r="H157" s="157" t="s">
        <v>650</v>
      </c>
      <c r="I157" s="79" t="str">
        <f t="shared" si="209"/>
        <v>Média</v>
      </c>
      <c r="J157" s="66" t="str">
        <f t="shared" si="210"/>
        <v>CEA</v>
      </c>
      <c r="K157" s="67">
        <f t="shared" si="211"/>
        <v>4</v>
      </c>
      <c r="L157" s="70" t="str">
        <f t="shared" si="212"/>
        <v>A</v>
      </c>
      <c r="M157" s="69" t="str">
        <f t="shared" si="213"/>
        <v>CEI</v>
      </c>
      <c r="N157" s="71">
        <f t="shared" si="214"/>
        <v>4</v>
      </c>
      <c r="O157" s="78">
        <f>IFERROR(IF(NOT(ISERROR(VLOOKUP(C157,'Deflatores Sisp'!G$42:H$70,2,FALSE))),VLOOKUP(C157,'Deflatores Sisp'!G$42:H$70,2,FALSE),IF(OR(ISBLANK(D157),ISBLANK(C157)),"",VLOOKUP(D157,'Deflatores Sisp'!G$4:H$38,2,FALSE)*K157+VLOOKUP(D157,'Deflatores Sisp'!G$4:I$38,3,FALSE)))*W157,"")</f>
        <v>0.2</v>
      </c>
      <c r="P157" s="120"/>
      <c r="Q157" s="68"/>
      <c r="R157" s="68"/>
      <c r="S157" s="68"/>
      <c r="T157" s="68" t="s">
        <v>59</v>
      </c>
      <c r="U157" s="68"/>
      <c r="V157" s="121"/>
      <c r="W157" s="121">
        <f t="shared" si="215"/>
        <v>0.05</v>
      </c>
      <c r="X157" s="119"/>
      <c r="Y157" s="4"/>
      <c r="Z157" s="73">
        <f t="shared" si="221"/>
        <v>0</v>
      </c>
      <c r="AA157" s="73">
        <f t="shared" si="216"/>
        <v>0</v>
      </c>
      <c r="AB157" s="73">
        <f t="shared" si="217"/>
        <v>0</v>
      </c>
      <c r="AC157" s="73">
        <f t="shared" si="218"/>
        <v>0</v>
      </c>
      <c r="AD157" s="73">
        <f t="shared" si="219"/>
        <v>0.05</v>
      </c>
      <c r="AE157" s="73">
        <f t="shared" si="220"/>
        <v>0</v>
      </c>
    </row>
    <row r="158" spans="1:31" ht="33" customHeight="1">
      <c r="A158" s="158" t="s">
        <v>667</v>
      </c>
      <c r="B158" s="166" t="s">
        <v>651</v>
      </c>
      <c r="C158" s="165" t="s">
        <v>64</v>
      </c>
      <c r="D158" s="154" t="s">
        <v>66</v>
      </c>
      <c r="E158" s="155">
        <v>8</v>
      </c>
      <c r="F158" s="153" t="s">
        <v>652</v>
      </c>
      <c r="G158" s="156">
        <v>2</v>
      </c>
      <c r="H158" s="157" t="s">
        <v>653</v>
      </c>
      <c r="I158" s="79" t="str">
        <f t="shared" si="209"/>
        <v>Média</v>
      </c>
      <c r="J158" s="66" t="str">
        <f t="shared" si="210"/>
        <v>CEA</v>
      </c>
      <c r="K158" s="67">
        <f t="shared" si="211"/>
        <v>4</v>
      </c>
      <c r="L158" s="70" t="str">
        <f t="shared" si="212"/>
        <v>A</v>
      </c>
      <c r="M158" s="69" t="str">
        <f t="shared" si="213"/>
        <v>CEI</v>
      </c>
      <c r="N158" s="71">
        <f t="shared" si="214"/>
        <v>4</v>
      </c>
      <c r="O158" s="78">
        <f>IFERROR(IF(NOT(ISERROR(VLOOKUP(C158,'Deflatores Sisp'!G$42:H$70,2,FALSE))),VLOOKUP(C158,'Deflatores Sisp'!G$42:H$70,2,FALSE),IF(OR(ISBLANK(D158),ISBLANK(C158)),"",VLOOKUP(D158,'Deflatores Sisp'!G$4:H$38,2,FALSE)*K158+VLOOKUP(D158,'Deflatores Sisp'!G$4:I$38,3,FALSE)))*W158,"")</f>
        <v>0.2</v>
      </c>
      <c r="P158" s="120"/>
      <c r="Q158" s="68"/>
      <c r="R158" s="68"/>
      <c r="S158" s="68"/>
      <c r="T158" s="68" t="s">
        <v>59</v>
      </c>
      <c r="U158" s="68"/>
      <c r="V158" s="121"/>
      <c r="W158" s="121">
        <f t="shared" si="215"/>
        <v>0.05</v>
      </c>
      <c r="X158" s="119"/>
      <c r="Y158" s="4"/>
      <c r="Z158" s="73">
        <f t="shared" si="221"/>
        <v>0</v>
      </c>
      <c r="AA158" s="73">
        <f t="shared" si="216"/>
        <v>0</v>
      </c>
      <c r="AB158" s="73">
        <f t="shared" si="217"/>
        <v>0</v>
      </c>
      <c r="AC158" s="73">
        <f t="shared" si="218"/>
        <v>0</v>
      </c>
      <c r="AD158" s="73">
        <f t="shared" si="219"/>
        <v>0.05</v>
      </c>
      <c r="AE158" s="73">
        <f t="shared" si="220"/>
        <v>0</v>
      </c>
    </row>
    <row r="159" spans="1:31" ht="33" customHeight="1">
      <c r="A159" s="158" t="s">
        <v>667</v>
      </c>
      <c r="B159" s="166" t="s">
        <v>654</v>
      </c>
      <c r="C159" s="165" t="s">
        <v>64</v>
      </c>
      <c r="D159" s="154" t="s">
        <v>66</v>
      </c>
      <c r="E159" s="155">
        <v>14</v>
      </c>
      <c r="F159" s="153" t="s">
        <v>655</v>
      </c>
      <c r="G159" s="156">
        <v>2</v>
      </c>
      <c r="H159" s="157" t="s">
        <v>656</v>
      </c>
      <c r="I159" s="79" t="str">
        <f t="shared" si="209"/>
        <v>Média</v>
      </c>
      <c r="J159" s="66" t="str">
        <f t="shared" si="210"/>
        <v>CEA</v>
      </c>
      <c r="K159" s="67">
        <f t="shared" si="211"/>
        <v>4</v>
      </c>
      <c r="L159" s="70" t="str">
        <f t="shared" si="212"/>
        <v>A</v>
      </c>
      <c r="M159" s="69" t="str">
        <f t="shared" si="213"/>
        <v>CEI</v>
      </c>
      <c r="N159" s="71">
        <f t="shared" si="214"/>
        <v>4</v>
      </c>
      <c r="O159" s="78">
        <f>IFERROR(IF(NOT(ISERROR(VLOOKUP(C159,'Deflatores Sisp'!G$42:H$70,2,FALSE))),VLOOKUP(C159,'Deflatores Sisp'!G$42:H$70,2,FALSE),IF(OR(ISBLANK(D159),ISBLANK(C159)),"",VLOOKUP(D159,'Deflatores Sisp'!G$4:H$38,2,FALSE)*K159+VLOOKUP(D159,'Deflatores Sisp'!G$4:I$38,3,FALSE)))*W159,"")</f>
        <v>0.2</v>
      </c>
      <c r="P159" s="120"/>
      <c r="Q159" s="68"/>
      <c r="R159" s="68"/>
      <c r="S159" s="68"/>
      <c r="T159" s="68" t="s">
        <v>59</v>
      </c>
      <c r="U159" s="68"/>
      <c r="V159" s="121"/>
      <c r="W159" s="121">
        <f t="shared" si="215"/>
        <v>0.05</v>
      </c>
      <c r="X159" s="119"/>
      <c r="Y159" s="4"/>
      <c r="Z159" s="73">
        <f t="shared" si="221"/>
        <v>0</v>
      </c>
      <c r="AA159" s="73">
        <f t="shared" si="216"/>
        <v>0</v>
      </c>
      <c r="AB159" s="73">
        <f t="shared" si="217"/>
        <v>0</v>
      </c>
      <c r="AC159" s="73">
        <f t="shared" si="218"/>
        <v>0</v>
      </c>
      <c r="AD159" s="73">
        <f t="shared" si="219"/>
        <v>0.05</v>
      </c>
      <c r="AE159" s="73">
        <f t="shared" si="220"/>
        <v>0</v>
      </c>
    </row>
    <row r="160" spans="1:31" ht="33" customHeight="1">
      <c r="A160" s="158" t="s">
        <v>667</v>
      </c>
      <c r="B160" s="166" t="s">
        <v>657</v>
      </c>
      <c r="C160" s="165" t="s">
        <v>64</v>
      </c>
      <c r="D160" s="154" t="s">
        <v>66</v>
      </c>
      <c r="E160" s="155">
        <v>10</v>
      </c>
      <c r="F160" s="153" t="s">
        <v>658</v>
      </c>
      <c r="G160" s="156">
        <v>2</v>
      </c>
      <c r="H160" s="157" t="s">
        <v>659</v>
      </c>
      <c r="I160" s="79" t="str">
        <f t="shared" si="209"/>
        <v>Média</v>
      </c>
      <c r="J160" s="66" t="str">
        <f t="shared" si="210"/>
        <v>CEA</v>
      </c>
      <c r="K160" s="67">
        <f t="shared" si="211"/>
        <v>4</v>
      </c>
      <c r="L160" s="70" t="str">
        <f t="shared" si="212"/>
        <v>A</v>
      </c>
      <c r="M160" s="69" t="str">
        <f t="shared" si="213"/>
        <v>CEI</v>
      </c>
      <c r="N160" s="71">
        <f t="shared" si="214"/>
        <v>4</v>
      </c>
      <c r="O160" s="78">
        <f>IFERROR(IF(NOT(ISERROR(VLOOKUP(C160,'Deflatores Sisp'!G$42:H$70,2,FALSE))),VLOOKUP(C160,'Deflatores Sisp'!G$42:H$70,2,FALSE),IF(OR(ISBLANK(D160),ISBLANK(C160)),"",VLOOKUP(D160,'Deflatores Sisp'!G$4:H$38,2,FALSE)*K160+VLOOKUP(D160,'Deflatores Sisp'!G$4:I$38,3,FALSE)))*W160,"")</f>
        <v>0.2</v>
      </c>
      <c r="P160" s="120"/>
      <c r="Q160" s="68"/>
      <c r="R160" s="68"/>
      <c r="S160" s="68"/>
      <c r="T160" s="68" t="s">
        <v>59</v>
      </c>
      <c r="U160" s="68"/>
      <c r="V160" s="121"/>
      <c r="W160" s="121">
        <f t="shared" si="215"/>
        <v>0.05</v>
      </c>
      <c r="X160" s="119"/>
      <c r="Y160" s="4"/>
      <c r="Z160" s="73">
        <f t="shared" si="221"/>
        <v>0</v>
      </c>
      <c r="AA160" s="73">
        <f t="shared" si="216"/>
        <v>0</v>
      </c>
      <c r="AB160" s="73">
        <f t="shared" si="217"/>
        <v>0</v>
      </c>
      <c r="AC160" s="73">
        <f t="shared" si="218"/>
        <v>0</v>
      </c>
      <c r="AD160" s="73">
        <f t="shared" si="219"/>
        <v>0.05</v>
      </c>
      <c r="AE160" s="73">
        <f t="shared" si="220"/>
        <v>0</v>
      </c>
    </row>
    <row r="161" spans="1:31" ht="33" customHeight="1">
      <c r="A161" s="158" t="s">
        <v>667</v>
      </c>
      <c r="B161" s="166" t="s">
        <v>660</v>
      </c>
      <c r="C161" s="165" t="s">
        <v>64</v>
      </c>
      <c r="D161" s="154" t="s">
        <v>66</v>
      </c>
      <c r="E161" s="155">
        <v>12</v>
      </c>
      <c r="F161" s="153" t="s">
        <v>661</v>
      </c>
      <c r="G161" s="156">
        <v>3</v>
      </c>
      <c r="H161" s="157" t="s">
        <v>662</v>
      </c>
      <c r="I161" s="79" t="str">
        <f t="shared" si="209"/>
        <v>Média</v>
      </c>
      <c r="J161" s="66" t="str">
        <f t="shared" si="210"/>
        <v>CEA</v>
      </c>
      <c r="K161" s="67">
        <f t="shared" si="211"/>
        <v>4</v>
      </c>
      <c r="L161" s="70" t="str">
        <f t="shared" si="212"/>
        <v>A</v>
      </c>
      <c r="M161" s="69" t="str">
        <f t="shared" si="213"/>
        <v>CEI</v>
      </c>
      <c r="N161" s="71">
        <f t="shared" si="214"/>
        <v>4</v>
      </c>
      <c r="O161" s="78">
        <f>IFERROR(IF(NOT(ISERROR(VLOOKUP(C161,'Deflatores Sisp'!G$42:H$70,2,FALSE))),VLOOKUP(C161,'Deflatores Sisp'!G$42:H$70,2,FALSE),IF(OR(ISBLANK(D161),ISBLANK(C161)),"",VLOOKUP(D161,'Deflatores Sisp'!G$4:H$38,2,FALSE)*K161+VLOOKUP(D161,'Deflatores Sisp'!G$4:I$38,3,FALSE)))*W161,"")</f>
        <v>0.2</v>
      </c>
      <c r="P161" s="120"/>
      <c r="Q161" s="68"/>
      <c r="R161" s="68"/>
      <c r="S161" s="68"/>
      <c r="T161" s="68" t="s">
        <v>59</v>
      </c>
      <c r="U161" s="68"/>
      <c r="V161" s="121"/>
      <c r="W161" s="121">
        <f t="shared" si="215"/>
        <v>0.05</v>
      </c>
      <c r="X161" s="119"/>
      <c r="Y161" s="4"/>
      <c r="Z161" s="73">
        <f t="shared" si="221"/>
        <v>0</v>
      </c>
      <c r="AA161" s="73">
        <f t="shared" si="216"/>
        <v>0</v>
      </c>
      <c r="AB161" s="73">
        <f t="shared" si="217"/>
        <v>0</v>
      </c>
      <c r="AC161" s="73">
        <f t="shared" si="218"/>
        <v>0</v>
      </c>
      <c r="AD161" s="73">
        <f t="shared" si="219"/>
        <v>0.05</v>
      </c>
      <c r="AE161" s="73">
        <f t="shared" si="220"/>
        <v>0</v>
      </c>
    </row>
    <row r="162" spans="1:31" ht="33" customHeight="1">
      <c r="A162" s="158" t="s">
        <v>667</v>
      </c>
      <c r="B162" s="166" t="s">
        <v>663</v>
      </c>
      <c r="C162" s="165" t="s">
        <v>64</v>
      </c>
      <c r="D162" s="154" t="s">
        <v>66</v>
      </c>
      <c r="E162" s="155">
        <v>12</v>
      </c>
      <c r="F162" s="153" t="s">
        <v>664</v>
      </c>
      <c r="G162" s="156">
        <v>3</v>
      </c>
      <c r="H162" s="157" t="s">
        <v>602</v>
      </c>
      <c r="I162" s="79" t="str">
        <f t="shared" si="209"/>
        <v>Média</v>
      </c>
      <c r="J162" s="66" t="str">
        <f t="shared" si="210"/>
        <v>CEA</v>
      </c>
      <c r="K162" s="67">
        <f t="shared" si="211"/>
        <v>4</v>
      </c>
      <c r="L162" s="70" t="str">
        <f t="shared" si="212"/>
        <v>A</v>
      </c>
      <c r="M162" s="69" t="str">
        <f t="shared" si="213"/>
        <v>CEI</v>
      </c>
      <c r="N162" s="71">
        <f t="shared" si="214"/>
        <v>4</v>
      </c>
      <c r="O162" s="78">
        <f>IFERROR(IF(NOT(ISERROR(VLOOKUP(C162,'Deflatores Sisp'!G$42:H$70,2,FALSE))),VLOOKUP(C162,'Deflatores Sisp'!G$42:H$70,2,FALSE),IF(OR(ISBLANK(D162),ISBLANK(C162)),"",VLOOKUP(D162,'Deflatores Sisp'!G$4:H$38,2,FALSE)*K162+VLOOKUP(D162,'Deflatores Sisp'!G$4:I$38,3,FALSE)))*W162,"")</f>
        <v>0.2</v>
      </c>
      <c r="P162" s="120"/>
      <c r="Q162" s="68"/>
      <c r="R162" s="68"/>
      <c r="S162" s="68"/>
      <c r="T162" s="68" t="s">
        <v>59</v>
      </c>
      <c r="U162" s="68"/>
      <c r="V162" s="121"/>
      <c r="W162" s="121">
        <f t="shared" si="215"/>
        <v>0.05</v>
      </c>
      <c r="X162" s="119"/>
      <c r="Y162" s="4"/>
      <c r="Z162" s="73">
        <f t="shared" si="221"/>
        <v>0</v>
      </c>
      <c r="AA162" s="73">
        <f t="shared" si="216"/>
        <v>0</v>
      </c>
      <c r="AB162" s="73">
        <f t="shared" si="217"/>
        <v>0</v>
      </c>
      <c r="AC162" s="73">
        <f t="shared" si="218"/>
        <v>0</v>
      </c>
      <c r="AD162" s="73">
        <f t="shared" si="219"/>
        <v>0.05</v>
      </c>
      <c r="AE162" s="73">
        <f t="shared" si="220"/>
        <v>0</v>
      </c>
    </row>
    <row r="163" spans="1:31" ht="33" customHeight="1">
      <c r="A163" s="158" t="s">
        <v>667</v>
      </c>
      <c r="B163" s="166" t="s">
        <v>719</v>
      </c>
      <c r="C163" s="165" t="s">
        <v>65</v>
      </c>
      <c r="D163" s="165" t="s">
        <v>66</v>
      </c>
      <c r="E163" s="168">
        <v>9</v>
      </c>
      <c r="F163" s="164" t="s">
        <v>668</v>
      </c>
      <c r="G163" s="169">
        <v>2</v>
      </c>
      <c r="H163" s="166" t="s">
        <v>669</v>
      </c>
      <c r="I163" s="79" t="str">
        <f t="shared" ref="I163:I182" si="222">IF(ISBLANK(C163),"",IF(L163="L","Baixa",IF(L163="A","Média",IF(L163="","","Alta"))))</f>
        <v>Baixa</v>
      </c>
      <c r="J163" s="66" t="str">
        <f t="shared" ref="J163:J182" si="223">CONCATENATE(C163,L163)</f>
        <v>ALIL</v>
      </c>
      <c r="K163" s="67">
        <f t="shared" ref="K163:K182" si="224">IF(ISBLANK(C163),"",IF(C163="ALI",IF(L163="L",7,IF(L163="A",10,15)),IF(C163="AIE",IF(L163="L",5,IF(L163="A",7,10)),IF(C163="SE",IF(L163="L",4,IF(L163="A",5,7)),IF(OR(C163="EE",C163="CE"),IF(L163="L",3,IF(L163="A",4,6)),0)))))</f>
        <v>7</v>
      </c>
      <c r="L163" s="70" t="str">
        <f t="shared" ref="L163:L182" si="225">IF(OR(ISBLANK(E163),ISBLANK(G163)),IF(OR(C163="ALI",C163="AIE"),"L",IF(OR(C163="EE",C163="SE",C163="CE"),"A","")),IF(C163="EE",IF(G163&gt;=3,IF(E163&gt;=5,"H","A"),IF(G163&gt;=2,IF(E163&gt;=16,"H",IF(E163&lt;=4,"L","A")),IF(E163&lt;=15,"L","A"))),IF(OR(C163="SE",C163="CE"),IF(G163&gt;=4,IF(E163&gt;=6,"H","A"),IF(G163&gt;=2,IF(E163&gt;=20,"H",IF(E163&lt;=5,"L","A")),IF(E163&lt;=19,"L","A"))),IF(OR(C163="ALI",C163="AIE"),IF(G163&gt;=6,IF(E163&gt;=20,"H","A"),IF(G163&gt;=2,IF(E163&gt;=51,"H",IF(E163&lt;=19,"L","A")),IF(E163&lt;=50,"L","A"))),""))))</f>
        <v>L</v>
      </c>
      <c r="M163" s="69" t="str">
        <f t="shared" ref="M163:M182" si="226">CONCATENATE(C163,D163)</f>
        <v>ALII</v>
      </c>
      <c r="N163" s="71">
        <f t="shared" si="214"/>
        <v>7</v>
      </c>
      <c r="O163" s="78">
        <f>IFERROR(IF(NOT(ISERROR(VLOOKUP(C163,'Deflatores Sisp'!G$42:H$70,2,FALSE))),VLOOKUP(C163,'Deflatores Sisp'!G$42:H$70,2,FALSE),IF(OR(ISBLANK(D163),ISBLANK(C163)),"",VLOOKUP(D163,'Deflatores Sisp'!G$4:H$38,2,FALSE)*K163+VLOOKUP(D163,'Deflatores Sisp'!G$4:I$38,3,FALSE)))*W163,"")</f>
        <v>6.65</v>
      </c>
      <c r="P163" s="120" t="s">
        <v>59</v>
      </c>
      <c r="Q163" s="68" t="s">
        <v>59</v>
      </c>
      <c r="R163" s="68" t="s">
        <v>59</v>
      </c>
      <c r="S163" s="68" t="s">
        <v>59</v>
      </c>
      <c r="T163" s="68" t="s">
        <v>59</v>
      </c>
      <c r="U163" s="68"/>
      <c r="V163" s="121"/>
      <c r="W163" s="121">
        <f t="shared" ref="W163:W182" si="227">IF(V163="",SUM(Z163:AE163),IF(C163="PA",E163,100%))</f>
        <v>0.95000000000000007</v>
      </c>
      <c r="X163" s="119"/>
      <c r="Y163" s="4"/>
      <c r="Z163" s="73">
        <f t="shared" si="221"/>
        <v>0.25</v>
      </c>
      <c r="AA163" s="73">
        <f t="shared" si="216"/>
        <v>0.1</v>
      </c>
      <c r="AB163" s="73">
        <f t="shared" si="217"/>
        <v>0.4</v>
      </c>
      <c r="AC163" s="73">
        <f t="shared" si="218"/>
        <v>0.15</v>
      </c>
      <c r="AD163" s="73">
        <f t="shared" si="219"/>
        <v>0.05</v>
      </c>
      <c r="AE163" s="73">
        <f t="shared" si="220"/>
        <v>0</v>
      </c>
    </row>
    <row r="164" spans="1:31" ht="33" customHeight="1">
      <c r="A164" s="158" t="s">
        <v>667</v>
      </c>
      <c r="B164" s="166" t="s">
        <v>718</v>
      </c>
      <c r="C164" s="165" t="s">
        <v>60</v>
      </c>
      <c r="D164" s="165" t="s">
        <v>66</v>
      </c>
      <c r="E164" s="168">
        <v>7</v>
      </c>
      <c r="F164" s="164" t="s">
        <v>670</v>
      </c>
      <c r="G164" s="169">
        <v>3</v>
      </c>
      <c r="H164" s="166" t="s">
        <v>671</v>
      </c>
      <c r="I164" s="79" t="str">
        <f t="shared" si="222"/>
        <v>Alta</v>
      </c>
      <c r="J164" s="66" t="str">
        <f t="shared" si="223"/>
        <v>EEH</v>
      </c>
      <c r="K164" s="67">
        <f t="shared" si="224"/>
        <v>6</v>
      </c>
      <c r="L164" s="70" t="str">
        <f t="shared" si="225"/>
        <v>H</v>
      </c>
      <c r="M164" s="69" t="str">
        <f t="shared" si="226"/>
        <v>EEI</v>
      </c>
      <c r="N164" s="71">
        <f t="shared" si="214"/>
        <v>6</v>
      </c>
      <c r="O164" s="78">
        <f>IFERROR(IF(NOT(ISERROR(VLOOKUP(C164,'Deflatores Sisp'!G$42:H$70,2,FALSE))),VLOOKUP(C164,'Deflatores Sisp'!G$42:H$70,2,FALSE),IF(OR(ISBLANK(D164),ISBLANK(C164)),"",VLOOKUP(D164,'Deflatores Sisp'!G$4:H$38,2,FALSE)*K164+VLOOKUP(D164,'Deflatores Sisp'!G$4:I$38,3,FALSE)))*W164,"")</f>
        <v>5.7</v>
      </c>
      <c r="P164" s="120" t="s">
        <v>59</v>
      </c>
      <c r="Q164" s="68" t="s">
        <v>59</v>
      </c>
      <c r="R164" s="68" t="s">
        <v>59</v>
      </c>
      <c r="S164" s="68" t="s">
        <v>59</v>
      </c>
      <c r="T164" s="68" t="s">
        <v>59</v>
      </c>
      <c r="U164" s="68"/>
      <c r="V164" s="121"/>
      <c r="W164" s="121">
        <f t="shared" si="227"/>
        <v>0.95000000000000007</v>
      </c>
      <c r="X164" s="119"/>
      <c r="Y164" s="4"/>
      <c r="Z164" s="73">
        <f t="shared" si="221"/>
        <v>0.25</v>
      </c>
      <c r="AA164" s="73">
        <f t="shared" si="216"/>
        <v>0.1</v>
      </c>
      <c r="AB164" s="73">
        <f t="shared" si="217"/>
        <v>0.4</v>
      </c>
      <c r="AC164" s="73">
        <f t="shared" si="218"/>
        <v>0.15</v>
      </c>
      <c r="AD164" s="73">
        <f t="shared" si="219"/>
        <v>0.05</v>
      </c>
      <c r="AE164" s="73">
        <f t="shared" si="220"/>
        <v>0</v>
      </c>
    </row>
    <row r="165" spans="1:31" ht="33" customHeight="1">
      <c r="A165" s="158" t="s">
        <v>667</v>
      </c>
      <c r="B165" s="166" t="s">
        <v>717</v>
      </c>
      <c r="C165" s="165" t="s">
        <v>60</v>
      </c>
      <c r="D165" s="165" t="s">
        <v>66</v>
      </c>
      <c r="E165" s="168">
        <v>5</v>
      </c>
      <c r="F165" s="164" t="s">
        <v>672</v>
      </c>
      <c r="G165" s="169">
        <v>2</v>
      </c>
      <c r="H165" s="166" t="s">
        <v>673</v>
      </c>
      <c r="I165" s="79" t="str">
        <f t="shared" si="222"/>
        <v>Média</v>
      </c>
      <c r="J165" s="66" t="str">
        <f t="shared" si="223"/>
        <v>EEA</v>
      </c>
      <c r="K165" s="67">
        <f t="shared" si="224"/>
        <v>4</v>
      </c>
      <c r="L165" s="70" t="str">
        <f t="shared" si="225"/>
        <v>A</v>
      </c>
      <c r="M165" s="69" t="str">
        <f t="shared" si="226"/>
        <v>EEI</v>
      </c>
      <c r="N165" s="71">
        <f t="shared" ref="N165:N182" si="228">IF(OR(K165="",K165=0),O165,K165)</f>
        <v>4</v>
      </c>
      <c r="O165" s="78">
        <f>IFERROR(IF(NOT(ISERROR(VLOOKUP(C165,'Deflatores Sisp'!G$42:H$70,2,FALSE))),VLOOKUP(C165,'Deflatores Sisp'!G$42:H$70,2,FALSE),IF(OR(ISBLANK(D165),ISBLANK(C165)),"",VLOOKUP(D165,'Deflatores Sisp'!G$4:H$38,2,FALSE)*K165+VLOOKUP(D165,'Deflatores Sisp'!G$4:I$38,3,FALSE)))*W165,"")</f>
        <v>3.8000000000000003</v>
      </c>
      <c r="P165" s="120" t="s">
        <v>59</v>
      </c>
      <c r="Q165" s="68" t="s">
        <v>59</v>
      </c>
      <c r="R165" s="68" t="s">
        <v>59</v>
      </c>
      <c r="S165" s="68" t="s">
        <v>59</v>
      </c>
      <c r="T165" s="68" t="s">
        <v>59</v>
      </c>
      <c r="U165" s="68"/>
      <c r="V165" s="121"/>
      <c r="W165" s="121">
        <f t="shared" si="227"/>
        <v>0.95000000000000007</v>
      </c>
      <c r="X165" s="119"/>
      <c r="Y165" s="4"/>
      <c r="Z165" s="73">
        <f t="shared" ref="Z165:Z182" si="229">IF(P165="x",25%,0)</f>
        <v>0.25</v>
      </c>
      <c r="AA165" s="73">
        <f t="shared" ref="AA165:AA182" si="230">IF(Q165="x",10%,0)</f>
        <v>0.1</v>
      </c>
      <c r="AB165" s="73">
        <f t="shared" ref="AB165:AB182" si="231">IF(R165="x",40%,0)</f>
        <v>0.4</v>
      </c>
      <c r="AC165" s="73">
        <f t="shared" ref="AC165:AC182" si="232">IF(S165="x",15%,0)</f>
        <v>0.15</v>
      </c>
      <c r="AD165" s="73">
        <f t="shared" ref="AD165:AD182" si="233">IF(T165="x",5%,0)</f>
        <v>0.05</v>
      </c>
      <c r="AE165" s="73">
        <f t="shared" ref="AE165:AE182" si="234">IF(U165="x",5%,0)</f>
        <v>0</v>
      </c>
    </row>
    <row r="166" spans="1:31" ht="33" customHeight="1">
      <c r="A166" s="158" t="s">
        <v>667</v>
      </c>
      <c r="B166" s="166" t="s">
        <v>716</v>
      </c>
      <c r="C166" s="165" t="s">
        <v>60</v>
      </c>
      <c r="D166" s="165" t="s">
        <v>66</v>
      </c>
      <c r="E166" s="168">
        <v>8</v>
      </c>
      <c r="F166" s="164" t="s">
        <v>675</v>
      </c>
      <c r="G166" s="169">
        <v>3</v>
      </c>
      <c r="H166" s="166" t="s">
        <v>676</v>
      </c>
      <c r="I166" s="79" t="str">
        <f t="shared" si="222"/>
        <v>Alta</v>
      </c>
      <c r="J166" s="66" t="str">
        <f t="shared" si="223"/>
        <v>EEH</v>
      </c>
      <c r="K166" s="67">
        <f t="shared" si="224"/>
        <v>6</v>
      </c>
      <c r="L166" s="70" t="str">
        <f t="shared" si="225"/>
        <v>H</v>
      </c>
      <c r="M166" s="69" t="str">
        <f t="shared" si="226"/>
        <v>EEI</v>
      </c>
      <c r="N166" s="71">
        <f t="shared" si="228"/>
        <v>6</v>
      </c>
      <c r="O166" s="78">
        <f>IFERROR(IF(NOT(ISERROR(VLOOKUP(C166,'Deflatores Sisp'!G$42:H$70,2,FALSE))),VLOOKUP(C166,'Deflatores Sisp'!G$42:H$70,2,FALSE),IF(OR(ISBLANK(D166),ISBLANK(C166)),"",VLOOKUP(D166,'Deflatores Sisp'!G$4:H$38,2,FALSE)*K166+VLOOKUP(D166,'Deflatores Sisp'!G$4:I$38,3,FALSE)))*W166,"")</f>
        <v>5.7</v>
      </c>
      <c r="P166" s="120" t="s">
        <v>59</v>
      </c>
      <c r="Q166" s="68" t="s">
        <v>59</v>
      </c>
      <c r="R166" s="68" t="s">
        <v>59</v>
      </c>
      <c r="S166" s="68" t="s">
        <v>59</v>
      </c>
      <c r="T166" s="68" t="s">
        <v>59</v>
      </c>
      <c r="U166" s="68"/>
      <c r="V166" s="121"/>
      <c r="W166" s="121">
        <f t="shared" si="227"/>
        <v>0.95000000000000007</v>
      </c>
      <c r="X166" s="119"/>
      <c r="Y166" s="4"/>
      <c r="Z166" s="73">
        <f t="shared" si="229"/>
        <v>0.25</v>
      </c>
      <c r="AA166" s="73">
        <f t="shared" si="230"/>
        <v>0.1</v>
      </c>
      <c r="AB166" s="73">
        <f t="shared" si="231"/>
        <v>0.4</v>
      </c>
      <c r="AC166" s="73">
        <f t="shared" si="232"/>
        <v>0.15</v>
      </c>
      <c r="AD166" s="73">
        <f t="shared" si="233"/>
        <v>0.05</v>
      </c>
      <c r="AE166" s="73">
        <f t="shared" si="234"/>
        <v>0</v>
      </c>
    </row>
    <row r="167" spans="1:31" ht="33" customHeight="1">
      <c r="A167" s="158" t="s">
        <v>667</v>
      </c>
      <c r="B167" s="166" t="s">
        <v>715</v>
      </c>
      <c r="C167" s="165" t="s">
        <v>60</v>
      </c>
      <c r="D167" s="165" t="s">
        <v>66</v>
      </c>
      <c r="E167" s="168">
        <v>12</v>
      </c>
      <c r="F167" s="164" t="s">
        <v>677</v>
      </c>
      <c r="G167" s="169">
        <v>2</v>
      </c>
      <c r="H167" s="166" t="s">
        <v>678</v>
      </c>
      <c r="I167" s="79" t="str">
        <f t="shared" si="222"/>
        <v>Média</v>
      </c>
      <c r="J167" s="66" t="str">
        <f t="shared" si="223"/>
        <v>EEA</v>
      </c>
      <c r="K167" s="67">
        <f t="shared" si="224"/>
        <v>4</v>
      </c>
      <c r="L167" s="70" t="str">
        <f t="shared" si="225"/>
        <v>A</v>
      </c>
      <c r="M167" s="69" t="str">
        <f t="shared" si="226"/>
        <v>EEI</v>
      </c>
      <c r="N167" s="71">
        <f t="shared" si="228"/>
        <v>4</v>
      </c>
      <c r="O167" s="78">
        <f>IFERROR(IF(NOT(ISERROR(VLOOKUP(C167,'Deflatores Sisp'!G$42:H$70,2,FALSE))),VLOOKUP(C167,'Deflatores Sisp'!G$42:H$70,2,FALSE),IF(OR(ISBLANK(D167),ISBLANK(C167)),"",VLOOKUP(D167,'Deflatores Sisp'!G$4:H$38,2,FALSE)*K167+VLOOKUP(D167,'Deflatores Sisp'!G$4:I$38,3,FALSE)))*W167,"")</f>
        <v>3.8000000000000003</v>
      </c>
      <c r="P167" s="120" t="s">
        <v>59</v>
      </c>
      <c r="Q167" s="68" t="s">
        <v>59</v>
      </c>
      <c r="R167" s="68" t="s">
        <v>59</v>
      </c>
      <c r="S167" s="68" t="s">
        <v>59</v>
      </c>
      <c r="T167" s="68" t="s">
        <v>59</v>
      </c>
      <c r="U167" s="68"/>
      <c r="V167" s="121"/>
      <c r="W167" s="121">
        <f t="shared" si="227"/>
        <v>0.95000000000000007</v>
      </c>
      <c r="X167" s="119"/>
      <c r="Y167" s="4"/>
      <c r="Z167" s="73">
        <f t="shared" si="229"/>
        <v>0.25</v>
      </c>
      <c r="AA167" s="73">
        <f t="shared" si="230"/>
        <v>0.1</v>
      </c>
      <c r="AB167" s="73">
        <f t="shared" si="231"/>
        <v>0.4</v>
      </c>
      <c r="AC167" s="73">
        <f t="shared" si="232"/>
        <v>0.15</v>
      </c>
      <c r="AD167" s="73">
        <f t="shared" si="233"/>
        <v>0.05</v>
      </c>
      <c r="AE167" s="73">
        <f t="shared" si="234"/>
        <v>0</v>
      </c>
    </row>
    <row r="168" spans="1:31" ht="33" customHeight="1">
      <c r="A168" s="158" t="s">
        <v>667</v>
      </c>
      <c r="B168" s="166" t="s">
        <v>714</v>
      </c>
      <c r="C168" s="165" t="s">
        <v>57</v>
      </c>
      <c r="D168" s="165" t="s">
        <v>66</v>
      </c>
      <c r="E168" s="168">
        <v>10</v>
      </c>
      <c r="F168" s="164" t="s">
        <v>679</v>
      </c>
      <c r="G168" s="169">
        <v>2</v>
      </c>
      <c r="H168" s="166" t="s">
        <v>680</v>
      </c>
      <c r="I168" s="79" t="str">
        <f t="shared" si="222"/>
        <v>Média</v>
      </c>
      <c r="J168" s="66" t="str">
        <f t="shared" si="223"/>
        <v>SEA</v>
      </c>
      <c r="K168" s="67">
        <f t="shared" si="224"/>
        <v>5</v>
      </c>
      <c r="L168" s="70" t="str">
        <f t="shared" si="225"/>
        <v>A</v>
      </c>
      <c r="M168" s="69" t="str">
        <f t="shared" si="226"/>
        <v>SEI</v>
      </c>
      <c r="N168" s="71">
        <f t="shared" si="228"/>
        <v>5</v>
      </c>
      <c r="O168" s="78">
        <f>IFERROR(IF(NOT(ISERROR(VLOOKUP(C168,'Deflatores Sisp'!G$42:H$70,2,FALSE))),VLOOKUP(C168,'Deflatores Sisp'!G$42:H$70,2,FALSE),IF(OR(ISBLANK(D168),ISBLANK(C168)),"",VLOOKUP(D168,'Deflatores Sisp'!G$4:H$38,2,FALSE)*K168+VLOOKUP(D168,'Deflatores Sisp'!G$4:I$38,3,FALSE)))*W168,"")</f>
        <v>4.75</v>
      </c>
      <c r="P168" s="120" t="s">
        <v>59</v>
      </c>
      <c r="Q168" s="68" t="s">
        <v>59</v>
      </c>
      <c r="R168" s="68" t="s">
        <v>59</v>
      </c>
      <c r="S168" s="68" t="s">
        <v>59</v>
      </c>
      <c r="T168" s="68" t="s">
        <v>59</v>
      </c>
      <c r="U168" s="68"/>
      <c r="V168" s="121"/>
      <c r="W168" s="121">
        <f t="shared" si="227"/>
        <v>0.95000000000000007</v>
      </c>
      <c r="X168" s="119"/>
      <c r="Y168" s="4"/>
      <c r="Z168" s="73">
        <f t="shared" si="229"/>
        <v>0.25</v>
      </c>
      <c r="AA168" s="73">
        <f t="shared" si="230"/>
        <v>0.1</v>
      </c>
      <c r="AB168" s="73">
        <f t="shared" si="231"/>
        <v>0.4</v>
      </c>
      <c r="AC168" s="73">
        <f t="shared" si="232"/>
        <v>0.15</v>
      </c>
      <c r="AD168" s="73">
        <f t="shared" si="233"/>
        <v>0.05</v>
      </c>
      <c r="AE168" s="73">
        <f t="shared" si="234"/>
        <v>0</v>
      </c>
    </row>
    <row r="169" spans="1:31" ht="33" customHeight="1">
      <c r="A169" s="158" t="s">
        <v>667</v>
      </c>
      <c r="B169" s="166" t="s">
        <v>713</v>
      </c>
      <c r="C169" s="165" t="s">
        <v>64</v>
      </c>
      <c r="D169" s="165" t="s">
        <v>66</v>
      </c>
      <c r="E169" s="168">
        <v>5</v>
      </c>
      <c r="F169" s="164" t="s">
        <v>681</v>
      </c>
      <c r="G169" s="169">
        <v>1</v>
      </c>
      <c r="H169" s="166" t="s">
        <v>682</v>
      </c>
      <c r="I169" s="79" t="str">
        <f t="shared" si="222"/>
        <v>Baixa</v>
      </c>
      <c r="J169" s="66" t="str">
        <f t="shared" si="223"/>
        <v>CEL</v>
      </c>
      <c r="K169" s="67">
        <f t="shared" si="224"/>
        <v>3</v>
      </c>
      <c r="L169" s="70" t="str">
        <f t="shared" si="225"/>
        <v>L</v>
      </c>
      <c r="M169" s="69" t="str">
        <f t="shared" si="226"/>
        <v>CEI</v>
      </c>
      <c r="N169" s="71">
        <f t="shared" si="228"/>
        <v>3</v>
      </c>
      <c r="O169" s="78">
        <f>IFERROR(IF(NOT(ISERROR(VLOOKUP(C169,'Deflatores Sisp'!G$42:H$70,2,FALSE))),VLOOKUP(C169,'Deflatores Sisp'!G$42:H$70,2,FALSE),IF(OR(ISBLANK(D169),ISBLANK(C169)),"",VLOOKUP(D169,'Deflatores Sisp'!G$4:H$38,2,FALSE)*K169+VLOOKUP(D169,'Deflatores Sisp'!G$4:I$38,3,FALSE)))*W169,"")</f>
        <v>2.85</v>
      </c>
      <c r="P169" s="120" t="s">
        <v>59</v>
      </c>
      <c r="Q169" s="68" t="s">
        <v>59</v>
      </c>
      <c r="R169" s="68" t="s">
        <v>59</v>
      </c>
      <c r="S169" s="68" t="s">
        <v>59</v>
      </c>
      <c r="T169" s="68" t="s">
        <v>59</v>
      </c>
      <c r="U169" s="68"/>
      <c r="V169" s="121"/>
      <c r="W169" s="121">
        <f t="shared" si="227"/>
        <v>0.95000000000000007</v>
      </c>
      <c r="X169" s="119"/>
      <c r="Y169" s="4"/>
      <c r="Z169" s="73">
        <f t="shared" si="229"/>
        <v>0.25</v>
      </c>
      <c r="AA169" s="73">
        <f t="shared" si="230"/>
        <v>0.1</v>
      </c>
      <c r="AB169" s="73">
        <f t="shared" si="231"/>
        <v>0.4</v>
      </c>
      <c r="AC169" s="73">
        <f t="shared" si="232"/>
        <v>0.15</v>
      </c>
      <c r="AD169" s="73">
        <f t="shared" si="233"/>
        <v>0.05</v>
      </c>
      <c r="AE169" s="73">
        <f t="shared" si="234"/>
        <v>0</v>
      </c>
    </row>
    <row r="170" spans="1:31" ht="33" customHeight="1">
      <c r="A170" s="158" t="s">
        <v>667</v>
      </c>
      <c r="B170" s="166" t="s">
        <v>712</v>
      </c>
      <c r="C170" s="165" t="s">
        <v>65</v>
      </c>
      <c r="D170" s="165" t="s">
        <v>63</v>
      </c>
      <c r="E170" s="168">
        <v>18</v>
      </c>
      <c r="F170" s="164" t="s">
        <v>683</v>
      </c>
      <c r="G170" s="169">
        <v>3</v>
      </c>
      <c r="H170" s="166" t="s">
        <v>684</v>
      </c>
      <c r="I170" s="79" t="str">
        <f t="shared" si="222"/>
        <v>Baixa</v>
      </c>
      <c r="J170" s="66" t="str">
        <f t="shared" si="223"/>
        <v>ALIL</v>
      </c>
      <c r="K170" s="67">
        <f t="shared" si="224"/>
        <v>7</v>
      </c>
      <c r="L170" s="70" t="str">
        <f t="shared" si="225"/>
        <v>L</v>
      </c>
      <c r="M170" s="69" t="str">
        <f t="shared" si="226"/>
        <v>ALIA</v>
      </c>
      <c r="N170" s="71">
        <f t="shared" si="228"/>
        <v>7</v>
      </c>
      <c r="O170" s="78">
        <f>IFERROR(IF(NOT(ISERROR(VLOOKUP(C170,'Deflatores Sisp'!G$42:H$70,2,FALSE))),VLOOKUP(C170,'Deflatores Sisp'!G$42:H$70,2,FALSE),IF(OR(ISBLANK(D170),ISBLANK(C170)),"",VLOOKUP(D170,'Deflatores Sisp'!G$4:H$38,2,FALSE)*K170+VLOOKUP(D170,'Deflatores Sisp'!G$4:I$38,3,FALSE)))*W170,"")</f>
        <v>5.3200000000000012</v>
      </c>
      <c r="P170" s="120" t="s">
        <v>59</v>
      </c>
      <c r="Q170" s="68" t="s">
        <v>59</v>
      </c>
      <c r="R170" s="68" t="s">
        <v>59</v>
      </c>
      <c r="S170" s="68" t="s">
        <v>59</v>
      </c>
      <c r="T170" s="68" t="s">
        <v>59</v>
      </c>
      <c r="U170" s="68"/>
      <c r="V170" s="121"/>
      <c r="W170" s="121">
        <f t="shared" si="227"/>
        <v>0.95000000000000007</v>
      </c>
      <c r="X170" s="119"/>
      <c r="Y170" s="4"/>
      <c r="Z170" s="73">
        <f t="shared" si="229"/>
        <v>0.25</v>
      </c>
      <c r="AA170" s="73">
        <f t="shared" si="230"/>
        <v>0.1</v>
      </c>
      <c r="AB170" s="73">
        <f t="shared" si="231"/>
        <v>0.4</v>
      </c>
      <c r="AC170" s="73">
        <f t="shared" si="232"/>
        <v>0.15</v>
      </c>
      <c r="AD170" s="73">
        <f t="shared" si="233"/>
        <v>0.05</v>
      </c>
      <c r="AE170" s="73">
        <f t="shared" si="234"/>
        <v>0</v>
      </c>
    </row>
    <row r="171" spans="1:31" ht="33" customHeight="1">
      <c r="A171" s="158" t="s">
        <v>667</v>
      </c>
      <c r="B171" s="166" t="s">
        <v>686</v>
      </c>
      <c r="C171" s="165" t="s">
        <v>65</v>
      </c>
      <c r="D171" s="165" t="s">
        <v>63</v>
      </c>
      <c r="E171" s="168">
        <v>5</v>
      </c>
      <c r="F171" s="164" t="s">
        <v>687</v>
      </c>
      <c r="G171" s="169">
        <v>3</v>
      </c>
      <c r="H171" s="166" t="s">
        <v>688</v>
      </c>
      <c r="I171" s="79" t="str">
        <f t="shared" si="222"/>
        <v>Baixa</v>
      </c>
      <c r="J171" s="66" t="str">
        <f t="shared" si="223"/>
        <v>ALIL</v>
      </c>
      <c r="K171" s="67">
        <f t="shared" si="224"/>
        <v>7</v>
      </c>
      <c r="L171" s="70" t="str">
        <f t="shared" si="225"/>
        <v>L</v>
      </c>
      <c r="M171" s="69" t="str">
        <f t="shared" si="226"/>
        <v>ALIA</v>
      </c>
      <c r="N171" s="71">
        <f t="shared" si="228"/>
        <v>7</v>
      </c>
      <c r="O171" s="78">
        <f>IFERROR(IF(NOT(ISERROR(VLOOKUP(C171,'Deflatores Sisp'!G$42:H$70,2,FALSE))),VLOOKUP(C171,'Deflatores Sisp'!G$42:H$70,2,FALSE),IF(OR(ISBLANK(D171),ISBLANK(C171)),"",VLOOKUP(D171,'Deflatores Sisp'!G$4:H$38,2,FALSE)*K171+VLOOKUP(D171,'Deflatores Sisp'!G$4:I$38,3,FALSE)))*W171,"")</f>
        <v>5.3200000000000012</v>
      </c>
      <c r="P171" s="120" t="s">
        <v>59</v>
      </c>
      <c r="Q171" s="68" t="s">
        <v>59</v>
      </c>
      <c r="R171" s="68" t="s">
        <v>59</v>
      </c>
      <c r="S171" s="68" t="s">
        <v>59</v>
      </c>
      <c r="T171" s="68" t="s">
        <v>59</v>
      </c>
      <c r="U171" s="68"/>
      <c r="V171" s="121"/>
      <c r="W171" s="121">
        <f t="shared" si="227"/>
        <v>0.95000000000000007</v>
      </c>
      <c r="X171" s="119"/>
      <c r="Y171" s="4"/>
      <c r="Z171" s="73">
        <f t="shared" si="229"/>
        <v>0.25</v>
      </c>
      <c r="AA171" s="73">
        <f t="shared" si="230"/>
        <v>0.1</v>
      </c>
      <c r="AB171" s="73">
        <f t="shared" si="231"/>
        <v>0.4</v>
      </c>
      <c r="AC171" s="73">
        <f t="shared" si="232"/>
        <v>0.15</v>
      </c>
      <c r="AD171" s="73">
        <f t="shared" si="233"/>
        <v>0.05</v>
      </c>
      <c r="AE171" s="73">
        <f t="shared" si="234"/>
        <v>0</v>
      </c>
    </row>
    <row r="172" spans="1:31" ht="33" customHeight="1">
      <c r="A172" s="158" t="s">
        <v>667</v>
      </c>
      <c r="B172" s="166" t="s">
        <v>689</v>
      </c>
      <c r="C172" s="165" t="s">
        <v>60</v>
      </c>
      <c r="D172" s="165" t="s">
        <v>87</v>
      </c>
      <c r="E172" s="168">
        <v>2</v>
      </c>
      <c r="F172" s="164" t="s">
        <v>690</v>
      </c>
      <c r="G172" s="169">
        <v>3</v>
      </c>
      <c r="H172" s="166" t="s">
        <v>691</v>
      </c>
      <c r="I172" s="79" t="str">
        <f t="shared" si="222"/>
        <v>Média</v>
      </c>
      <c r="J172" s="66" t="str">
        <f t="shared" si="223"/>
        <v>EEA</v>
      </c>
      <c r="K172" s="67">
        <f t="shared" si="224"/>
        <v>4</v>
      </c>
      <c r="L172" s="70" t="str">
        <f t="shared" si="225"/>
        <v>A</v>
      </c>
      <c r="M172" s="69" t="str">
        <f t="shared" si="226"/>
        <v>EEE</v>
      </c>
      <c r="N172" s="71">
        <f t="shared" si="228"/>
        <v>4</v>
      </c>
      <c r="O172" s="78">
        <f>IFERROR(IF(NOT(ISERROR(VLOOKUP(C172,'Deflatores Sisp'!G$42:H$70,2,FALSE))),VLOOKUP(C172,'Deflatores Sisp'!G$42:H$70,2,FALSE),IF(OR(ISBLANK(D172),ISBLANK(C172)),"",VLOOKUP(D172,'Deflatores Sisp'!G$4:H$38,2,FALSE)*K172+VLOOKUP(D172,'Deflatores Sisp'!G$4:I$38,3,FALSE)))*W172,"")</f>
        <v>1.5200000000000002</v>
      </c>
      <c r="P172" s="120" t="s">
        <v>59</v>
      </c>
      <c r="Q172" s="68" t="s">
        <v>59</v>
      </c>
      <c r="R172" s="68" t="s">
        <v>59</v>
      </c>
      <c r="S172" s="68" t="s">
        <v>59</v>
      </c>
      <c r="T172" s="68" t="s">
        <v>59</v>
      </c>
      <c r="U172" s="68"/>
      <c r="V172" s="121"/>
      <c r="W172" s="121">
        <f t="shared" si="227"/>
        <v>0.95000000000000007</v>
      </c>
      <c r="X172" s="119"/>
      <c r="Y172" s="4"/>
      <c r="Z172" s="73">
        <f t="shared" si="229"/>
        <v>0.25</v>
      </c>
      <c r="AA172" s="73">
        <f t="shared" si="230"/>
        <v>0.1</v>
      </c>
      <c r="AB172" s="73">
        <f t="shared" si="231"/>
        <v>0.4</v>
      </c>
      <c r="AC172" s="73">
        <f t="shared" si="232"/>
        <v>0.15</v>
      </c>
      <c r="AD172" s="73">
        <f t="shared" si="233"/>
        <v>0.05</v>
      </c>
      <c r="AE172" s="73">
        <f t="shared" si="234"/>
        <v>0</v>
      </c>
    </row>
    <row r="173" spans="1:31" ht="33" customHeight="1">
      <c r="A173" s="158" t="s">
        <v>667</v>
      </c>
      <c r="B173" s="166" t="s">
        <v>711</v>
      </c>
      <c r="C173" s="165" t="s">
        <v>60</v>
      </c>
      <c r="D173" s="165" t="s">
        <v>66</v>
      </c>
      <c r="E173" s="168">
        <v>10</v>
      </c>
      <c r="F173" s="164" t="s">
        <v>692</v>
      </c>
      <c r="G173" s="169">
        <v>2</v>
      </c>
      <c r="H173" s="166" t="s">
        <v>693</v>
      </c>
      <c r="I173" s="79" t="str">
        <f t="shared" si="222"/>
        <v>Média</v>
      </c>
      <c r="J173" s="66" t="str">
        <f t="shared" si="223"/>
        <v>EEA</v>
      </c>
      <c r="K173" s="67">
        <f t="shared" si="224"/>
        <v>4</v>
      </c>
      <c r="L173" s="70" t="str">
        <f t="shared" si="225"/>
        <v>A</v>
      </c>
      <c r="M173" s="69" t="str">
        <f t="shared" si="226"/>
        <v>EEI</v>
      </c>
      <c r="N173" s="71">
        <f t="shared" si="228"/>
        <v>4</v>
      </c>
      <c r="O173" s="78">
        <f>IFERROR(IF(NOT(ISERROR(VLOOKUP(C173,'Deflatores Sisp'!G$42:H$70,2,FALSE))),VLOOKUP(C173,'Deflatores Sisp'!G$42:H$70,2,FALSE),IF(OR(ISBLANK(D173),ISBLANK(C173)),"",VLOOKUP(D173,'Deflatores Sisp'!G$4:H$38,2,FALSE)*K173+VLOOKUP(D173,'Deflatores Sisp'!G$4:I$38,3,FALSE)))*W173,"")</f>
        <v>3.8000000000000003</v>
      </c>
      <c r="P173" s="120" t="s">
        <v>59</v>
      </c>
      <c r="Q173" s="68" t="s">
        <v>59</v>
      </c>
      <c r="R173" s="68" t="s">
        <v>59</v>
      </c>
      <c r="S173" s="68" t="s">
        <v>59</v>
      </c>
      <c r="T173" s="68" t="s">
        <v>59</v>
      </c>
      <c r="U173" s="68"/>
      <c r="V173" s="121"/>
      <c r="W173" s="121">
        <f t="shared" si="227"/>
        <v>0.95000000000000007</v>
      </c>
      <c r="X173" s="119"/>
      <c r="Y173" s="4"/>
      <c r="Z173" s="73">
        <f t="shared" si="229"/>
        <v>0.25</v>
      </c>
      <c r="AA173" s="73">
        <f t="shared" si="230"/>
        <v>0.1</v>
      </c>
      <c r="AB173" s="73">
        <f t="shared" si="231"/>
        <v>0.4</v>
      </c>
      <c r="AC173" s="73">
        <f t="shared" si="232"/>
        <v>0.15</v>
      </c>
      <c r="AD173" s="73">
        <f t="shared" si="233"/>
        <v>0.05</v>
      </c>
      <c r="AE173" s="73">
        <f t="shared" si="234"/>
        <v>0</v>
      </c>
    </row>
    <row r="174" spans="1:31" ht="33" customHeight="1">
      <c r="A174" s="158" t="s">
        <v>667</v>
      </c>
      <c r="B174" s="166" t="s">
        <v>710</v>
      </c>
      <c r="C174" s="165" t="s">
        <v>60</v>
      </c>
      <c r="D174" s="165" t="s">
        <v>66</v>
      </c>
      <c r="E174" s="168">
        <v>7</v>
      </c>
      <c r="F174" s="164" t="s">
        <v>695</v>
      </c>
      <c r="G174" s="169">
        <v>2</v>
      </c>
      <c r="H174" s="166" t="s">
        <v>696</v>
      </c>
      <c r="I174" s="79" t="str">
        <f t="shared" si="222"/>
        <v>Média</v>
      </c>
      <c r="J174" s="66" t="str">
        <f t="shared" si="223"/>
        <v>EEA</v>
      </c>
      <c r="K174" s="67">
        <f t="shared" si="224"/>
        <v>4</v>
      </c>
      <c r="L174" s="70" t="str">
        <f t="shared" si="225"/>
        <v>A</v>
      </c>
      <c r="M174" s="69" t="str">
        <f t="shared" si="226"/>
        <v>EEI</v>
      </c>
      <c r="N174" s="71">
        <f t="shared" si="228"/>
        <v>4</v>
      </c>
      <c r="O174" s="78">
        <f>IFERROR(IF(NOT(ISERROR(VLOOKUP(C174,'Deflatores Sisp'!G$42:H$70,2,FALSE))),VLOOKUP(C174,'Deflatores Sisp'!G$42:H$70,2,FALSE),IF(OR(ISBLANK(D174),ISBLANK(C174)),"",VLOOKUP(D174,'Deflatores Sisp'!G$4:H$38,2,FALSE)*K174+VLOOKUP(D174,'Deflatores Sisp'!G$4:I$38,3,FALSE)))*W174,"")</f>
        <v>3.8000000000000003</v>
      </c>
      <c r="P174" s="120" t="s">
        <v>59</v>
      </c>
      <c r="Q174" s="68" t="s">
        <v>59</v>
      </c>
      <c r="R174" s="68" t="s">
        <v>59</v>
      </c>
      <c r="S174" s="68" t="s">
        <v>59</v>
      </c>
      <c r="T174" s="68" t="s">
        <v>59</v>
      </c>
      <c r="U174" s="68"/>
      <c r="V174" s="121"/>
      <c r="W174" s="121">
        <f t="shared" si="227"/>
        <v>0.95000000000000007</v>
      </c>
      <c r="X174" s="119"/>
      <c r="Y174" s="4"/>
      <c r="Z174" s="73">
        <f t="shared" si="229"/>
        <v>0.25</v>
      </c>
      <c r="AA174" s="73">
        <f t="shared" si="230"/>
        <v>0.1</v>
      </c>
      <c r="AB174" s="73">
        <f t="shared" si="231"/>
        <v>0.4</v>
      </c>
      <c r="AC174" s="73">
        <f t="shared" si="232"/>
        <v>0.15</v>
      </c>
      <c r="AD174" s="73">
        <f t="shared" si="233"/>
        <v>0.05</v>
      </c>
      <c r="AE174" s="73">
        <f t="shared" si="234"/>
        <v>0</v>
      </c>
    </row>
    <row r="175" spans="1:31" ht="33" customHeight="1">
      <c r="A175" s="158" t="s">
        <v>667</v>
      </c>
      <c r="B175" s="166" t="s">
        <v>709</v>
      </c>
      <c r="C175" s="165" t="s">
        <v>60</v>
      </c>
      <c r="D175" s="165" t="s">
        <v>66</v>
      </c>
      <c r="E175" s="168">
        <v>5</v>
      </c>
      <c r="F175" s="164" t="s">
        <v>697</v>
      </c>
      <c r="G175" s="169">
        <v>2</v>
      </c>
      <c r="H175" s="166" t="s">
        <v>698</v>
      </c>
      <c r="I175" s="79" t="str">
        <f t="shared" si="222"/>
        <v>Média</v>
      </c>
      <c r="J175" s="66" t="str">
        <f t="shared" si="223"/>
        <v>EEA</v>
      </c>
      <c r="K175" s="67">
        <f t="shared" si="224"/>
        <v>4</v>
      </c>
      <c r="L175" s="70" t="str">
        <f t="shared" si="225"/>
        <v>A</v>
      </c>
      <c r="M175" s="69" t="str">
        <f t="shared" si="226"/>
        <v>EEI</v>
      </c>
      <c r="N175" s="71">
        <f t="shared" si="228"/>
        <v>4</v>
      </c>
      <c r="O175" s="78">
        <f>IFERROR(IF(NOT(ISERROR(VLOOKUP(C175,'Deflatores Sisp'!G$42:H$70,2,FALSE))),VLOOKUP(C175,'Deflatores Sisp'!G$42:H$70,2,FALSE),IF(OR(ISBLANK(D175),ISBLANK(C175)),"",VLOOKUP(D175,'Deflatores Sisp'!G$4:H$38,2,FALSE)*K175+VLOOKUP(D175,'Deflatores Sisp'!G$4:I$38,3,FALSE)))*W175,"")</f>
        <v>3.8000000000000003</v>
      </c>
      <c r="P175" s="120" t="s">
        <v>59</v>
      </c>
      <c r="Q175" s="68" t="s">
        <v>59</v>
      </c>
      <c r="R175" s="68" t="s">
        <v>59</v>
      </c>
      <c r="S175" s="68" t="s">
        <v>59</v>
      </c>
      <c r="T175" s="68" t="s">
        <v>59</v>
      </c>
      <c r="U175" s="68"/>
      <c r="V175" s="121"/>
      <c r="W175" s="121">
        <f t="shared" si="227"/>
        <v>0.95000000000000007</v>
      </c>
      <c r="X175" s="119"/>
      <c r="Y175" s="4"/>
      <c r="Z175" s="73">
        <f t="shared" si="229"/>
        <v>0.25</v>
      </c>
      <c r="AA175" s="73">
        <f t="shared" si="230"/>
        <v>0.1</v>
      </c>
      <c r="AB175" s="73">
        <f t="shared" si="231"/>
        <v>0.4</v>
      </c>
      <c r="AC175" s="73">
        <f t="shared" si="232"/>
        <v>0.15</v>
      </c>
      <c r="AD175" s="73">
        <f t="shared" si="233"/>
        <v>0.05</v>
      </c>
      <c r="AE175" s="73">
        <f t="shared" si="234"/>
        <v>0</v>
      </c>
    </row>
    <row r="176" spans="1:31" ht="33" customHeight="1">
      <c r="A176" s="158" t="s">
        <v>667</v>
      </c>
      <c r="B176" s="166" t="s">
        <v>708</v>
      </c>
      <c r="C176" s="165" t="s">
        <v>57</v>
      </c>
      <c r="D176" s="165" t="s">
        <v>66</v>
      </c>
      <c r="E176" s="168">
        <v>12</v>
      </c>
      <c r="F176" s="164" t="s">
        <v>699</v>
      </c>
      <c r="G176" s="169">
        <v>5</v>
      </c>
      <c r="H176" s="166" t="s">
        <v>700</v>
      </c>
      <c r="I176" s="79" t="str">
        <f t="shared" si="222"/>
        <v>Alta</v>
      </c>
      <c r="J176" s="66" t="str">
        <f t="shared" si="223"/>
        <v>SEH</v>
      </c>
      <c r="K176" s="67">
        <f t="shared" si="224"/>
        <v>7</v>
      </c>
      <c r="L176" s="70" t="str">
        <f t="shared" si="225"/>
        <v>H</v>
      </c>
      <c r="M176" s="69" t="str">
        <f t="shared" si="226"/>
        <v>SEI</v>
      </c>
      <c r="N176" s="71">
        <f t="shared" si="228"/>
        <v>7</v>
      </c>
      <c r="O176" s="78">
        <f>IFERROR(IF(NOT(ISERROR(VLOOKUP(C176,'Deflatores Sisp'!G$42:H$70,2,FALSE))),VLOOKUP(C176,'Deflatores Sisp'!G$42:H$70,2,FALSE),IF(OR(ISBLANK(D176),ISBLANK(C176)),"",VLOOKUP(D176,'Deflatores Sisp'!G$4:H$38,2,FALSE)*K176+VLOOKUP(D176,'Deflatores Sisp'!G$4:I$38,3,FALSE)))*W176,"")</f>
        <v>6.65</v>
      </c>
      <c r="P176" s="120" t="s">
        <v>59</v>
      </c>
      <c r="Q176" s="68" t="s">
        <v>59</v>
      </c>
      <c r="R176" s="68" t="s">
        <v>59</v>
      </c>
      <c r="S176" s="68" t="s">
        <v>59</v>
      </c>
      <c r="T176" s="68" t="s">
        <v>59</v>
      </c>
      <c r="U176" s="68"/>
      <c r="V176" s="121"/>
      <c r="W176" s="121">
        <f t="shared" si="227"/>
        <v>0.95000000000000007</v>
      </c>
      <c r="X176" s="119"/>
      <c r="Y176" s="4"/>
      <c r="Z176" s="73">
        <f t="shared" si="229"/>
        <v>0.25</v>
      </c>
      <c r="AA176" s="73">
        <f t="shared" si="230"/>
        <v>0.1</v>
      </c>
      <c r="AB176" s="73">
        <f t="shared" si="231"/>
        <v>0.4</v>
      </c>
      <c r="AC176" s="73">
        <f t="shared" si="232"/>
        <v>0.15</v>
      </c>
      <c r="AD176" s="73">
        <f t="shared" si="233"/>
        <v>0.05</v>
      </c>
      <c r="AE176" s="73">
        <f t="shared" si="234"/>
        <v>0</v>
      </c>
    </row>
    <row r="177" spans="1:31" ht="33" customHeight="1">
      <c r="A177" s="158" t="s">
        <v>667</v>
      </c>
      <c r="B177" s="166" t="s">
        <v>706</v>
      </c>
      <c r="C177" s="165" t="s">
        <v>57</v>
      </c>
      <c r="D177" s="165" t="s">
        <v>66</v>
      </c>
      <c r="E177" s="168">
        <v>10</v>
      </c>
      <c r="F177" s="164" t="s">
        <v>701</v>
      </c>
      <c r="G177" s="169">
        <v>4</v>
      </c>
      <c r="H177" s="166" t="s">
        <v>702</v>
      </c>
      <c r="I177" s="79" t="str">
        <f t="shared" si="222"/>
        <v>Alta</v>
      </c>
      <c r="J177" s="66" t="str">
        <f t="shared" si="223"/>
        <v>SEH</v>
      </c>
      <c r="K177" s="67">
        <f t="shared" si="224"/>
        <v>7</v>
      </c>
      <c r="L177" s="70" t="str">
        <f t="shared" si="225"/>
        <v>H</v>
      </c>
      <c r="M177" s="69" t="str">
        <f t="shared" si="226"/>
        <v>SEI</v>
      </c>
      <c r="N177" s="71">
        <f t="shared" si="228"/>
        <v>7</v>
      </c>
      <c r="O177" s="78">
        <f>IFERROR(IF(NOT(ISERROR(VLOOKUP(C177,'Deflatores Sisp'!G$42:H$70,2,FALSE))),VLOOKUP(C177,'Deflatores Sisp'!G$42:H$70,2,FALSE),IF(OR(ISBLANK(D177),ISBLANK(C177)),"",VLOOKUP(D177,'Deflatores Sisp'!G$4:H$38,2,FALSE)*K177+VLOOKUP(D177,'Deflatores Sisp'!G$4:I$38,3,FALSE)))*W177,"")</f>
        <v>6.65</v>
      </c>
      <c r="P177" s="120" t="s">
        <v>59</v>
      </c>
      <c r="Q177" s="68" t="s">
        <v>59</v>
      </c>
      <c r="R177" s="68" t="s">
        <v>59</v>
      </c>
      <c r="S177" s="68" t="s">
        <v>59</v>
      </c>
      <c r="T177" s="68" t="s">
        <v>59</v>
      </c>
      <c r="U177" s="68"/>
      <c r="V177" s="121"/>
      <c r="W177" s="121">
        <f t="shared" si="227"/>
        <v>0.95000000000000007</v>
      </c>
      <c r="X177" s="119"/>
      <c r="Y177" s="4"/>
      <c r="Z177" s="73">
        <f t="shared" si="229"/>
        <v>0.25</v>
      </c>
      <c r="AA177" s="73">
        <f t="shared" si="230"/>
        <v>0.1</v>
      </c>
      <c r="AB177" s="73">
        <f t="shared" si="231"/>
        <v>0.4</v>
      </c>
      <c r="AC177" s="73">
        <f t="shared" si="232"/>
        <v>0.15</v>
      </c>
      <c r="AD177" s="73">
        <f t="shared" si="233"/>
        <v>0.05</v>
      </c>
      <c r="AE177" s="73">
        <f t="shared" si="234"/>
        <v>0</v>
      </c>
    </row>
    <row r="178" spans="1:31" ht="33" customHeight="1">
      <c r="A178" s="158" t="s">
        <v>667</v>
      </c>
      <c r="B178" s="166" t="s">
        <v>751</v>
      </c>
      <c r="C178" s="165" t="s">
        <v>60</v>
      </c>
      <c r="D178" s="165" t="s">
        <v>66</v>
      </c>
      <c r="E178" s="168">
        <v>10</v>
      </c>
      <c r="F178" s="164" t="s">
        <v>703</v>
      </c>
      <c r="G178" s="169">
        <v>3</v>
      </c>
      <c r="H178" s="166" t="s">
        <v>694</v>
      </c>
      <c r="I178" s="79" t="str">
        <f t="shared" si="222"/>
        <v>Alta</v>
      </c>
      <c r="J178" s="66" t="str">
        <f t="shared" si="223"/>
        <v>EEH</v>
      </c>
      <c r="K178" s="67">
        <f t="shared" si="224"/>
        <v>6</v>
      </c>
      <c r="L178" s="70" t="str">
        <f t="shared" si="225"/>
        <v>H</v>
      </c>
      <c r="M178" s="69" t="str">
        <f t="shared" si="226"/>
        <v>EEI</v>
      </c>
      <c r="N178" s="71">
        <f t="shared" si="228"/>
        <v>6</v>
      </c>
      <c r="O178" s="78">
        <f>IFERROR(IF(NOT(ISERROR(VLOOKUP(C178,'Deflatores Sisp'!G$42:H$70,2,FALSE))),VLOOKUP(C178,'Deflatores Sisp'!G$42:H$70,2,FALSE),IF(OR(ISBLANK(D178),ISBLANK(C178)),"",VLOOKUP(D178,'Deflatores Sisp'!G$4:H$38,2,FALSE)*K178+VLOOKUP(D178,'Deflatores Sisp'!G$4:I$38,3,FALSE)))*W178,"")</f>
        <v>5.7</v>
      </c>
      <c r="P178" s="120" t="s">
        <v>59</v>
      </c>
      <c r="Q178" s="68" t="s">
        <v>59</v>
      </c>
      <c r="R178" s="68" t="s">
        <v>59</v>
      </c>
      <c r="S178" s="68" t="s">
        <v>59</v>
      </c>
      <c r="T178" s="68" t="s">
        <v>59</v>
      </c>
      <c r="U178" s="68"/>
      <c r="V178" s="121"/>
      <c r="W178" s="121">
        <f t="shared" si="227"/>
        <v>0.95000000000000007</v>
      </c>
      <c r="X178" s="119"/>
      <c r="Y178" s="4"/>
      <c r="Z178" s="73">
        <f t="shared" si="229"/>
        <v>0.25</v>
      </c>
      <c r="AA178" s="73">
        <f t="shared" si="230"/>
        <v>0.1</v>
      </c>
      <c r="AB178" s="73">
        <f t="shared" si="231"/>
        <v>0.4</v>
      </c>
      <c r="AC178" s="73">
        <f t="shared" si="232"/>
        <v>0.15</v>
      </c>
      <c r="AD178" s="73">
        <f t="shared" si="233"/>
        <v>0.05</v>
      </c>
      <c r="AE178" s="73">
        <f t="shared" si="234"/>
        <v>0</v>
      </c>
    </row>
    <row r="179" spans="1:31" ht="33" customHeight="1">
      <c r="A179" s="158" t="s">
        <v>667</v>
      </c>
      <c r="B179" s="166" t="s">
        <v>707</v>
      </c>
      <c r="C179" s="165" t="s">
        <v>60</v>
      </c>
      <c r="D179" s="165" t="s">
        <v>66</v>
      </c>
      <c r="E179" s="168">
        <v>6</v>
      </c>
      <c r="F179" s="164" t="s">
        <v>704</v>
      </c>
      <c r="G179" s="169">
        <v>2</v>
      </c>
      <c r="H179" s="166" t="s">
        <v>705</v>
      </c>
      <c r="I179" s="79" t="str">
        <f t="shared" si="222"/>
        <v>Média</v>
      </c>
      <c r="J179" s="66" t="str">
        <f t="shared" si="223"/>
        <v>EEA</v>
      </c>
      <c r="K179" s="67">
        <f t="shared" si="224"/>
        <v>4</v>
      </c>
      <c r="L179" s="70" t="str">
        <f t="shared" si="225"/>
        <v>A</v>
      </c>
      <c r="M179" s="69" t="str">
        <f t="shared" si="226"/>
        <v>EEI</v>
      </c>
      <c r="N179" s="71">
        <f t="shared" si="228"/>
        <v>4</v>
      </c>
      <c r="O179" s="78">
        <f>IFERROR(IF(NOT(ISERROR(VLOOKUP(C179,'Deflatores Sisp'!G$42:H$70,2,FALSE))),VLOOKUP(C179,'Deflatores Sisp'!G$42:H$70,2,FALSE),IF(OR(ISBLANK(D179),ISBLANK(C179)),"",VLOOKUP(D179,'Deflatores Sisp'!G$4:H$38,2,FALSE)*K179+VLOOKUP(D179,'Deflatores Sisp'!G$4:I$38,3,FALSE)))*W179,"")</f>
        <v>3.8000000000000003</v>
      </c>
      <c r="P179" s="120" t="s">
        <v>59</v>
      </c>
      <c r="Q179" s="68" t="s">
        <v>59</v>
      </c>
      <c r="R179" s="68" t="s">
        <v>59</v>
      </c>
      <c r="S179" s="68" t="s">
        <v>59</v>
      </c>
      <c r="T179" s="68" t="s">
        <v>59</v>
      </c>
      <c r="U179" s="68"/>
      <c r="V179" s="121"/>
      <c r="W179" s="121">
        <f t="shared" si="227"/>
        <v>0.95000000000000007</v>
      </c>
      <c r="X179" s="119"/>
      <c r="Y179" s="4"/>
      <c r="Z179" s="73">
        <f t="shared" si="229"/>
        <v>0.25</v>
      </c>
      <c r="AA179" s="73">
        <f t="shared" si="230"/>
        <v>0.1</v>
      </c>
      <c r="AB179" s="73">
        <f t="shared" si="231"/>
        <v>0.4</v>
      </c>
      <c r="AC179" s="73">
        <f t="shared" si="232"/>
        <v>0.15</v>
      </c>
      <c r="AD179" s="73">
        <f t="shared" si="233"/>
        <v>0.05</v>
      </c>
      <c r="AE179" s="73">
        <f t="shared" si="234"/>
        <v>0</v>
      </c>
    </row>
    <row r="180" spans="1:31" ht="33" customHeight="1">
      <c r="A180" s="158" t="s">
        <v>667</v>
      </c>
      <c r="B180" s="166" t="s">
        <v>752</v>
      </c>
      <c r="C180" s="165" t="s">
        <v>60</v>
      </c>
      <c r="D180" s="165" t="s">
        <v>66</v>
      </c>
      <c r="E180" s="168">
        <v>7</v>
      </c>
      <c r="F180" s="164" t="s">
        <v>720</v>
      </c>
      <c r="G180" s="169">
        <v>3</v>
      </c>
      <c r="H180" s="166" t="s">
        <v>721</v>
      </c>
      <c r="I180" s="79" t="str">
        <f t="shared" si="222"/>
        <v>Alta</v>
      </c>
      <c r="J180" s="66" t="str">
        <f t="shared" si="223"/>
        <v>EEH</v>
      </c>
      <c r="K180" s="67">
        <f t="shared" si="224"/>
        <v>6</v>
      </c>
      <c r="L180" s="70" t="str">
        <f t="shared" si="225"/>
        <v>H</v>
      </c>
      <c r="M180" s="69" t="str">
        <f t="shared" si="226"/>
        <v>EEI</v>
      </c>
      <c r="N180" s="71">
        <f t="shared" si="228"/>
        <v>6</v>
      </c>
      <c r="O180" s="78">
        <f>IFERROR(IF(NOT(ISERROR(VLOOKUP(C180,'Deflatores Sisp'!G$42:H$70,2,FALSE))),VLOOKUP(C180,'Deflatores Sisp'!G$42:H$70,2,FALSE),IF(OR(ISBLANK(D180),ISBLANK(C180)),"",VLOOKUP(D180,'Deflatores Sisp'!G$4:H$38,2,FALSE)*K180+VLOOKUP(D180,'Deflatores Sisp'!G$4:I$38,3,FALSE)))*W180,"")</f>
        <v>5.7</v>
      </c>
      <c r="P180" s="120" t="s">
        <v>59</v>
      </c>
      <c r="Q180" s="68" t="s">
        <v>59</v>
      </c>
      <c r="R180" s="68" t="s">
        <v>59</v>
      </c>
      <c r="S180" s="68" t="s">
        <v>59</v>
      </c>
      <c r="T180" s="68" t="s">
        <v>59</v>
      </c>
      <c r="U180" s="68"/>
      <c r="V180" s="121"/>
      <c r="W180" s="121">
        <f t="shared" si="227"/>
        <v>0.95000000000000007</v>
      </c>
      <c r="X180" s="119"/>
      <c r="Y180" s="4"/>
      <c r="Z180" s="73">
        <f t="shared" si="229"/>
        <v>0.25</v>
      </c>
      <c r="AA180" s="73">
        <f t="shared" si="230"/>
        <v>0.1</v>
      </c>
      <c r="AB180" s="73">
        <f t="shared" si="231"/>
        <v>0.4</v>
      </c>
      <c r="AC180" s="73">
        <f t="shared" si="232"/>
        <v>0.15</v>
      </c>
      <c r="AD180" s="73">
        <f t="shared" si="233"/>
        <v>0.05</v>
      </c>
      <c r="AE180" s="73">
        <f t="shared" si="234"/>
        <v>0</v>
      </c>
    </row>
    <row r="181" spans="1:31" ht="33" customHeight="1">
      <c r="A181" s="158" t="s">
        <v>667</v>
      </c>
      <c r="B181" s="166" t="s">
        <v>717</v>
      </c>
      <c r="C181" s="165" t="s">
        <v>60</v>
      </c>
      <c r="D181" s="165" t="s">
        <v>66</v>
      </c>
      <c r="E181" s="168">
        <v>5</v>
      </c>
      <c r="F181" s="164" t="s">
        <v>672</v>
      </c>
      <c r="G181" s="169">
        <v>2</v>
      </c>
      <c r="H181" s="166" t="s">
        <v>673</v>
      </c>
      <c r="I181" s="79" t="str">
        <f t="shared" si="222"/>
        <v>Média</v>
      </c>
      <c r="J181" s="66" t="str">
        <f t="shared" si="223"/>
        <v>EEA</v>
      </c>
      <c r="K181" s="67">
        <f t="shared" si="224"/>
        <v>4</v>
      </c>
      <c r="L181" s="70" t="str">
        <f t="shared" si="225"/>
        <v>A</v>
      </c>
      <c r="M181" s="69" t="str">
        <f t="shared" si="226"/>
        <v>EEI</v>
      </c>
      <c r="N181" s="71">
        <f t="shared" si="228"/>
        <v>4</v>
      </c>
      <c r="O181" s="78">
        <f>IFERROR(IF(NOT(ISERROR(VLOOKUP(C181,'Deflatores Sisp'!G$42:H$70,2,FALSE))),VLOOKUP(C181,'Deflatores Sisp'!G$42:H$70,2,FALSE),IF(OR(ISBLANK(D181),ISBLANK(C181)),"",VLOOKUP(D181,'Deflatores Sisp'!G$4:H$38,2,FALSE)*K181+VLOOKUP(D181,'Deflatores Sisp'!G$4:I$38,3,FALSE)))*W181,"")</f>
        <v>3.8000000000000003</v>
      </c>
      <c r="P181" s="120" t="s">
        <v>59</v>
      </c>
      <c r="Q181" s="68" t="s">
        <v>59</v>
      </c>
      <c r="R181" s="68" t="s">
        <v>59</v>
      </c>
      <c r="S181" s="68" t="s">
        <v>59</v>
      </c>
      <c r="T181" s="68" t="s">
        <v>59</v>
      </c>
      <c r="U181" s="68"/>
      <c r="V181" s="121"/>
      <c r="W181" s="121">
        <f t="shared" si="227"/>
        <v>0.95000000000000007</v>
      </c>
      <c r="X181" s="119"/>
      <c r="Y181" s="4"/>
      <c r="Z181" s="73">
        <f t="shared" si="229"/>
        <v>0.25</v>
      </c>
      <c r="AA181" s="73">
        <f t="shared" si="230"/>
        <v>0.1</v>
      </c>
      <c r="AB181" s="73">
        <f t="shared" si="231"/>
        <v>0.4</v>
      </c>
      <c r="AC181" s="73">
        <f t="shared" si="232"/>
        <v>0.15</v>
      </c>
      <c r="AD181" s="73">
        <f t="shared" si="233"/>
        <v>0.05</v>
      </c>
      <c r="AE181" s="73">
        <f t="shared" si="234"/>
        <v>0</v>
      </c>
    </row>
    <row r="182" spans="1:31" ht="37.5" customHeight="1">
      <c r="A182" s="158" t="s">
        <v>667</v>
      </c>
      <c r="B182" s="166" t="s">
        <v>753</v>
      </c>
      <c r="C182" s="165" t="s">
        <v>60</v>
      </c>
      <c r="D182" s="165" t="s">
        <v>66</v>
      </c>
      <c r="E182" s="168">
        <v>8</v>
      </c>
      <c r="F182" s="164" t="s">
        <v>722</v>
      </c>
      <c r="G182" s="169">
        <v>3</v>
      </c>
      <c r="H182" s="166" t="s">
        <v>723</v>
      </c>
      <c r="I182" s="79" t="str">
        <f t="shared" si="222"/>
        <v>Alta</v>
      </c>
      <c r="J182" s="66" t="str">
        <f t="shared" si="223"/>
        <v>EEH</v>
      </c>
      <c r="K182" s="67">
        <f t="shared" si="224"/>
        <v>6</v>
      </c>
      <c r="L182" s="70" t="str">
        <f t="shared" si="225"/>
        <v>H</v>
      </c>
      <c r="M182" s="69" t="str">
        <f t="shared" si="226"/>
        <v>EEI</v>
      </c>
      <c r="N182" s="71">
        <f t="shared" si="228"/>
        <v>6</v>
      </c>
      <c r="O182" s="78">
        <f>IFERROR(IF(NOT(ISERROR(VLOOKUP(C182,'Deflatores Sisp'!G$42:H$70,2,FALSE))),VLOOKUP(C182,'Deflatores Sisp'!G$42:H$70,2,FALSE),IF(OR(ISBLANK(D182),ISBLANK(C182)),"",VLOOKUP(D182,'Deflatores Sisp'!G$4:H$38,2,FALSE)*K182+VLOOKUP(D182,'Deflatores Sisp'!G$4:I$38,3,FALSE)))*W182,"")</f>
        <v>5.7</v>
      </c>
      <c r="P182" s="120" t="s">
        <v>59</v>
      </c>
      <c r="Q182" s="68" t="s">
        <v>59</v>
      </c>
      <c r="R182" s="68" t="s">
        <v>59</v>
      </c>
      <c r="S182" s="68" t="s">
        <v>59</v>
      </c>
      <c r="T182" s="68" t="s">
        <v>59</v>
      </c>
      <c r="U182" s="68"/>
      <c r="V182" s="121"/>
      <c r="W182" s="121">
        <f t="shared" si="227"/>
        <v>0.95000000000000007</v>
      </c>
      <c r="X182" s="119"/>
      <c r="Y182" s="4"/>
      <c r="Z182" s="73">
        <f t="shared" si="229"/>
        <v>0.25</v>
      </c>
      <c r="AA182" s="73">
        <f t="shared" si="230"/>
        <v>0.1</v>
      </c>
      <c r="AB182" s="73">
        <f t="shared" si="231"/>
        <v>0.4</v>
      </c>
      <c r="AC182" s="73">
        <f t="shared" si="232"/>
        <v>0.15</v>
      </c>
      <c r="AD182" s="73">
        <f t="shared" si="233"/>
        <v>0.05</v>
      </c>
      <c r="AE182" s="73">
        <f t="shared" si="234"/>
        <v>0</v>
      </c>
    </row>
    <row r="183" spans="1:31" ht="33.75" customHeight="1">
      <c r="A183" s="158" t="s">
        <v>667</v>
      </c>
      <c r="B183" s="166" t="s">
        <v>754</v>
      </c>
      <c r="C183" s="165" t="s">
        <v>65</v>
      </c>
      <c r="D183" s="165" t="s">
        <v>66</v>
      </c>
      <c r="E183" s="168">
        <v>9</v>
      </c>
      <c r="F183" s="164" t="s">
        <v>668</v>
      </c>
      <c r="G183" s="169">
        <v>2</v>
      </c>
      <c r="H183" s="166" t="s">
        <v>669</v>
      </c>
      <c r="I183" s="79" t="str">
        <f t="shared" ref="I183:I197" si="235">IF(ISBLANK(C183),"",IF(L183="L","Baixa",IF(L183="A","Média",IF(L183="","","Alta"))))</f>
        <v>Baixa</v>
      </c>
      <c r="J183" s="66" t="str">
        <f t="shared" ref="J183:J197" si="236">CONCATENATE(C183,L183)</f>
        <v>ALIL</v>
      </c>
      <c r="K183" s="67">
        <f t="shared" ref="K183:K197" si="237">IF(ISBLANK(C183),"",IF(C183="ALI",IF(L183="L",7,IF(L183="A",10,15)),IF(C183="AIE",IF(L183="L",5,IF(L183="A",7,10)),IF(C183="SE",IF(L183="L",4,IF(L183="A",5,7)),IF(OR(C183="EE",C183="CE"),IF(L183="L",3,IF(L183="A",4,6)),0)))))</f>
        <v>7</v>
      </c>
      <c r="L183" s="70" t="str">
        <f t="shared" ref="L183:L197" si="238">IF(OR(ISBLANK(E183),ISBLANK(G183)),IF(OR(C183="ALI",C183="AIE"),"L",IF(OR(C183="EE",C183="SE",C183="CE"),"A","")),IF(C183="EE",IF(G183&gt;=3,IF(E183&gt;=5,"H","A"),IF(G183&gt;=2,IF(E183&gt;=16,"H",IF(E183&lt;=4,"L","A")),IF(E183&lt;=15,"L","A"))),IF(OR(C183="SE",C183="CE"),IF(G183&gt;=4,IF(E183&gt;=6,"H","A"),IF(G183&gt;=2,IF(E183&gt;=20,"H",IF(E183&lt;=5,"L","A")),IF(E183&lt;=19,"L","A"))),IF(OR(C183="ALI",C183="AIE"),IF(G183&gt;=6,IF(E183&gt;=20,"H","A"),IF(G183&gt;=2,IF(E183&gt;=51,"H",IF(E183&lt;=19,"L","A")),IF(E183&lt;=50,"L","A"))),""))))</f>
        <v>L</v>
      </c>
      <c r="M183" s="69" t="str">
        <f t="shared" ref="M183:M197" si="239">CONCATENATE(C183,D183)</f>
        <v>ALII</v>
      </c>
      <c r="N183" s="71">
        <f t="shared" ref="N183:N197" si="240">IF(OR(K183="",K183=0),O183,K183)</f>
        <v>7</v>
      </c>
      <c r="O183" s="78">
        <f>IFERROR(IF(NOT(ISERROR(VLOOKUP(C183,'Deflatores Sisp'!G$42:H$70,2,FALSE))),VLOOKUP(C183,'Deflatores Sisp'!G$42:H$70,2,FALSE),IF(OR(ISBLANK(D183),ISBLANK(C183)),"",VLOOKUP(D183,'Deflatores Sisp'!G$4:H$38,2,FALSE)*K183+VLOOKUP(D183,'Deflatores Sisp'!G$4:I$38,3,FALSE)))*W183,"")</f>
        <v>6.65</v>
      </c>
      <c r="P183" s="120" t="s">
        <v>59</v>
      </c>
      <c r="Q183" s="68" t="s">
        <v>59</v>
      </c>
      <c r="R183" s="68" t="s">
        <v>59</v>
      </c>
      <c r="S183" s="68" t="s">
        <v>59</v>
      </c>
      <c r="T183" s="68" t="s">
        <v>59</v>
      </c>
      <c r="U183" s="68"/>
      <c r="V183" s="121"/>
      <c r="W183" s="121">
        <f t="shared" ref="W183:W197" si="241">IF(V183="",SUM(Z183:AE183),IF(C183="PA",E183,100%))</f>
        <v>0.95000000000000007</v>
      </c>
      <c r="X183" s="119"/>
      <c r="Y183" s="4"/>
      <c r="Z183" s="73">
        <f t="shared" ref="Z183:Z197" si="242">IF(P183="x",25%,0)</f>
        <v>0.25</v>
      </c>
      <c r="AA183" s="73">
        <f t="shared" ref="AA183:AA197" si="243">IF(Q183="x",10%,0)</f>
        <v>0.1</v>
      </c>
      <c r="AB183" s="73">
        <f t="shared" ref="AB183:AB197" si="244">IF(R183="x",40%,0)</f>
        <v>0.4</v>
      </c>
      <c r="AC183" s="73">
        <f t="shared" ref="AC183:AC197" si="245">IF(S183="x",15%,0)</f>
        <v>0.15</v>
      </c>
      <c r="AD183" s="73">
        <f t="shared" ref="AD183:AD197" si="246">IF(T183="x",5%,0)</f>
        <v>0.05</v>
      </c>
      <c r="AE183" s="73">
        <f t="shared" ref="AE183:AE197" si="247">IF(U183="x",5%,0)</f>
        <v>0</v>
      </c>
    </row>
    <row r="184" spans="1:31" ht="33.75" customHeight="1">
      <c r="A184" s="158" t="s">
        <v>667</v>
      </c>
      <c r="B184" s="166" t="s">
        <v>752</v>
      </c>
      <c r="C184" s="165" t="s">
        <v>60</v>
      </c>
      <c r="D184" s="165" t="s">
        <v>66</v>
      </c>
      <c r="E184" s="168">
        <v>7</v>
      </c>
      <c r="F184" s="164" t="s">
        <v>720</v>
      </c>
      <c r="G184" s="169">
        <v>3</v>
      </c>
      <c r="H184" s="166" t="s">
        <v>721</v>
      </c>
      <c r="I184" s="79" t="str">
        <f t="shared" si="235"/>
        <v>Alta</v>
      </c>
      <c r="J184" s="66" t="str">
        <f t="shared" si="236"/>
        <v>EEH</v>
      </c>
      <c r="K184" s="67">
        <f t="shared" si="237"/>
        <v>6</v>
      </c>
      <c r="L184" s="70" t="str">
        <f t="shared" si="238"/>
        <v>H</v>
      </c>
      <c r="M184" s="69" t="str">
        <f t="shared" si="239"/>
        <v>EEI</v>
      </c>
      <c r="N184" s="71">
        <f t="shared" si="240"/>
        <v>6</v>
      </c>
      <c r="O184" s="78">
        <f>IFERROR(IF(NOT(ISERROR(VLOOKUP(C184,'Deflatores Sisp'!G$42:H$70,2,FALSE))),VLOOKUP(C184,'Deflatores Sisp'!G$42:H$70,2,FALSE),IF(OR(ISBLANK(D184),ISBLANK(C184)),"",VLOOKUP(D184,'Deflatores Sisp'!G$4:H$38,2,FALSE)*K184+VLOOKUP(D184,'Deflatores Sisp'!G$4:I$38,3,FALSE)))*W184,"")</f>
        <v>5.7</v>
      </c>
      <c r="P184" s="120" t="s">
        <v>59</v>
      </c>
      <c r="Q184" s="68" t="s">
        <v>59</v>
      </c>
      <c r="R184" s="68" t="s">
        <v>59</v>
      </c>
      <c r="S184" s="68" t="s">
        <v>59</v>
      </c>
      <c r="T184" s="68" t="s">
        <v>59</v>
      </c>
      <c r="U184" s="68"/>
      <c r="V184" s="121"/>
      <c r="W184" s="121">
        <f t="shared" si="241"/>
        <v>0.95000000000000007</v>
      </c>
      <c r="X184" s="119"/>
      <c r="Y184" s="4"/>
      <c r="Z184" s="73">
        <f t="shared" si="242"/>
        <v>0.25</v>
      </c>
      <c r="AA184" s="73">
        <f t="shared" si="243"/>
        <v>0.1</v>
      </c>
      <c r="AB184" s="73">
        <f t="shared" si="244"/>
        <v>0.4</v>
      </c>
      <c r="AC184" s="73">
        <f t="shared" si="245"/>
        <v>0.15</v>
      </c>
      <c r="AD184" s="73">
        <f t="shared" si="246"/>
        <v>0.05</v>
      </c>
      <c r="AE184" s="73">
        <f t="shared" si="247"/>
        <v>0</v>
      </c>
    </row>
    <row r="185" spans="1:31" ht="33.75" customHeight="1">
      <c r="A185" s="158" t="s">
        <v>667</v>
      </c>
      <c r="B185" s="166" t="s">
        <v>753</v>
      </c>
      <c r="C185" s="165" t="s">
        <v>60</v>
      </c>
      <c r="D185" s="165" t="s">
        <v>66</v>
      </c>
      <c r="E185" s="168">
        <v>8</v>
      </c>
      <c r="F185" s="164" t="s">
        <v>722</v>
      </c>
      <c r="G185" s="169">
        <v>3</v>
      </c>
      <c r="H185" s="166" t="s">
        <v>723</v>
      </c>
      <c r="I185" s="79" t="str">
        <f t="shared" si="235"/>
        <v>Alta</v>
      </c>
      <c r="J185" s="66" t="str">
        <f t="shared" si="236"/>
        <v>EEH</v>
      </c>
      <c r="K185" s="67">
        <f t="shared" si="237"/>
        <v>6</v>
      </c>
      <c r="L185" s="70" t="str">
        <f t="shared" si="238"/>
        <v>H</v>
      </c>
      <c r="M185" s="69" t="str">
        <f t="shared" si="239"/>
        <v>EEI</v>
      </c>
      <c r="N185" s="71">
        <f t="shared" si="240"/>
        <v>6</v>
      </c>
      <c r="O185" s="78">
        <f>IFERROR(IF(NOT(ISERROR(VLOOKUP(C185,'Deflatores Sisp'!G$42:H$70,2,FALSE))),VLOOKUP(C185,'Deflatores Sisp'!G$42:H$70,2,FALSE),IF(OR(ISBLANK(D185),ISBLANK(C185)),"",VLOOKUP(D185,'Deflatores Sisp'!G$4:H$38,2,FALSE)*K185+VLOOKUP(D185,'Deflatores Sisp'!G$4:I$38,3,FALSE)))*W185,"")</f>
        <v>5.7</v>
      </c>
      <c r="P185" s="120" t="s">
        <v>59</v>
      </c>
      <c r="Q185" s="68" t="s">
        <v>59</v>
      </c>
      <c r="R185" s="68" t="s">
        <v>59</v>
      </c>
      <c r="S185" s="68" t="s">
        <v>59</v>
      </c>
      <c r="T185" s="68" t="s">
        <v>59</v>
      </c>
      <c r="U185" s="68"/>
      <c r="V185" s="121"/>
      <c r="W185" s="121">
        <f t="shared" si="241"/>
        <v>0.95000000000000007</v>
      </c>
      <c r="X185" s="119"/>
      <c r="Y185" s="4"/>
      <c r="Z185" s="73">
        <f t="shared" si="242"/>
        <v>0.25</v>
      </c>
      <c r="AA185" s="73">
        <f t="shared" si="243"/>
        <v>0.1</v>
      </c>
      <c r="AB185" s="73">
        <f t="shared" si="244"/>
        <v>0.4</v>
      </c>
      <c r="AC185" s="73">
        <f t="shared" si="245"/>
        <v>0.15</v>
      </c>
      <c r="AD185" s="73">
        <f t="shared" si="246"/>
        <v>0.05</v>
      </c>
      <c r="AE185" s="73">
        <f t="shared" si="247"/>
        <v>0</v>
      </c>
    </row>
    <row r="186" spans="1:31" ht="33.75" customHeight="1">
      <c r="A186" s="158" t="s">
        <v>667</v>
      </c>
      <c r="B186" s="166" t="s">
        <v>674</v>
      </c>
      <c r="C186" s="165" t="s">
        <v>65</v>
      </c>
      <c r="D186" s="165" t="s">
        <v>66</v>
      </c>
      <c r="E186" s="168">
        <v>7</v>
      </c>
      <c r="F186" s="164" t="s">
        <v>738</v>
      </c>
      <c r="G186" s="169">
        <v>1</v>
      </c>
      <c r="H186" s="166" t="s">
        <v>674</v>
      </c>
      <c r="I186" s="79" t="str">
        <f t="shared" si="235"/>
        <v>Baixa</v>
      </c>
      <c r="J186" s="66" t="str">
        <f t="shared" si="236"/>
        <v>ALIL</v>
      </c>
      <c r="K186" s="67">
        <f t="shared" si="237"/>
        <v>7</v>
      </c>
      <c r="L186" s="70" t="str">
        <f t="shared" si="238"/>
        <v>L</v>
      </c>
      <c r="M186" s="69" t="str">
        <f t="shared" si="239"/>
        <v>ALII</v>
      </c>
      <c r="N186" s="71">
        <f t="shared" si="240"/>
        <v>7</v>
      </c>
      <c r="O186" s="78">
        <f>IFERROR(IF(NOT(ISERROR(VLOOKUP(C186,'Deflatores Sisp'!G$42:H$70,2,FALSE))),VLOOKUP(C186,'Deflatores Sisp'!G$42:H$70,2,FALSE),IF(OR(ISBLANK(D186),ISBLANK(C186)),"",VLOOKUP(D186,'Deflatores Sisp'!G$4:H$38,2,FALSE)*K186+VLOOKUP(D186,'Deflatores Sisp'!G$4:I$38,3,FALSE)))*W186,"")</f>
        <v>6.65</v>
      </c>
      <c r="P186" s="120" t="s">
        <v>59</v>
      </c>
      <c r="Q186" s="68" t="s">
        <v>59</v>
      </c>
      <c r="R186" s="68" t="s">
        <v>59</v>
      </c>
      <c r="S186" s="68" t="s">
        <v>59</v>
      </c>
      <c r="T186" s="68" t="s">
        <v>59</v>
      </c>
      <c r="U186" s="68"/>
      <c r="V186" s="121"/>
      <c r="W186" s="121">
        <f t="shared" si="241"/>
        <v>0.95000000000000007</v>
      </c>
      <c r="X186" s="119"/>
      <c r="Y186" s="4"/>
      <c r="Z186" s="73">
        <f t="shared" si="242"/>
        <v>0.25</v>
      </c>
      <c r="AA186" s="73">
        <f t="shared" si="243"/>
        <v>0.1</v>
      </c>
      <c r="AB186" s="73">
        <f t="shared" si="244"/>
        <v>0.4</v>
      </c>
      <c r="AC186" s="73">
        <f t="shared" si="245"/>
        <v>0.15</v>
      </c>
      <c r="AD186" s="73">
        <f t="shared" si="246"/>
        <v>0.05</v>
      </c>
      <c r="AE186" s="73">
        <f t="shared" si="247"/>
        <v>0</v>
      </c>
    </row>
    <row r="187" spans="1:31" ht="33.75" customHeight="1">
      <c r="A187" s="158" t="s">
        <v>667</v>
      </c>
      <c r="B187" s="166" t="s">
        <v>755</v>
      </c>
      <c r="C187" s="165" t="s">
        <v>60</v>
      </c>
      <c r="D187" s="165" t="s">
        <v>66</v>
      </c>
      <c r="E187" s="168">
        <v>12</v>
      </c>
      <c r="F187" s="164" t="s">
        <v>724</v>
      </c>
      <c r="G187" s="169">
        <v>4</v>
      </c>
      <c r="H187" s="166" t="s">
        <v>725</v>
      </c>
      <c r="I187" s="79" t="str">
        <f t="shared" si="235"/>
        <v>Alta</v>
      </c>
      <c r="J187" s="66" t="str">
        <f t="shared" si="236"/>
        <v>EEH</v>
      </c>
      <c r="K187" s="67">
        <f t="shared" si="237"/>
        <v>6</v>
      </c>
      <c r="L187" s="70" t="str">
        <f t="shared" si="238"/>
        <v>H</v>
      </c>
      <c r="M187" s="69" t="str">
        <f t="shared" si="239"/>
        <v>EEI</v>
      </c>
      <c r="N187" s="71">
        <f t="shared" si="240"/>
        <v>6</v>
      </c>
      <c r="O187" s="78">
        <f>IFERROR(IF(NOT(ISERROR(VLOOKUP(C187,'Deflatores Sisp'!G$42:H$70,2,FALSE))),VLOOKUP(C187,'Deflatores Sisp'!G$42:H$70,2,FALSE),IF(OR(ISBLANK(D187),ISBLANK(C187)),"",VLOOKUP(D187,'Deflatores Sisp'!G$4:H$38,2,FALSE)*K187+VLOOKUP(D187,'Deflatores Sisp'!G$4:I$38,3,FALSE)))*W187,"")</f>
        <v>5.7</v>
      </c>
      <c r="P187" s="120" t="s">
        <v>59</v>
      </c>
      <c r="Q187" s="68" t="s">
        <v>59</v>
      </c>
      <c r="R187" s="68" t="s">
        <v>59</v>
      </c>
      <c r="S187" s="68" t="s">
        <v>59</v>
      </c>
      <c r="T187" s="68" t="s">
        <v>59</v>
      </c>
      <c r="U187" s="68"/>
      <c r="V187" s="121"/>
      <c r="W187" s="121">
        <f t="shared" si="241"/>
        <v>0.95000000000000007</v>
      </c>
      <c r="X187" s="119"/>
      <c r="Y187" s="4"/>
      <c r="Z187" s="73">
        <f t="shared" si="242"/>
        <v>0.25</v>
      </c>
      <c r="AA187" s="73">
        <f t="shared" si="243"/>
        <v>0.1</v>
      </c>
      <c r="AB187" s="73">
        <f t="shared" si="244"/>
        <v>0.4</v>
      </c>
      <c r="AC187" s="73">
        <f t="shared" si="245"/>
        <v>0.15</v>
      </c>
      <c r="AD187" s="73">
        <f t="shared" si="246"/>
        <v>0.05</v>
      </c>
      <c r="AE187" s="73">
        <f t="shared" si="247"/>
        <v>0</v>
      </c>
    </row>
    <row r="188" spans="1:31" ht="33.75" customHeight="1">
      <c r="A188" s="158" t="s">
        <v>667</v>
      </c>
      <c r="B188" s="166" t="s">
        <v>756</v>
      </c>
      <c r="C188" s="165" t="s">
        <v>60</v>
      </c>
      <c r="D188" s="165" t="s">
        <v>66</v>
      </c>
      <c r="E188" s="168">
        <v>9</v>
      </c>
      <c r="F188" s="164" t="s">
        <v>726</v>
      </c>
      <c r="G188" s="169">
        <v>3</v>
      </c>
      <c r="H188" s="166" t="s">
        <v>727</v>
      </c>
      <c r="I188" s="79" t="str">
        <f t="shared" si="235"/>
        <v>Alta</v>
      </c>
      <c r="J188" s="66" t="str">
        <f t="shared" si="236"/>
        <v>EEH</v>
      </c>
      <c r="K188" s="67">
        <f t="shared" si="237"/>
        <v>6</v>
      </c>
      <c r="L188" s="70" t="str">
        <f t="shared" si="238"/>
        <v>H</v>
      </c>
      <c r="M188" s="69" t="str">
        <f t="shared" si="239"/>
        <v>EEI</v>
      </c>
      <c r="N188" s="71">
        <f t="shared" si="240"/>
        <v>6</v>
      </c>
      <c r="O188" s="78">
        <f>IFERROR(IF(NOT(ISERROR(VLOOKUP(C188,'Deflatores Sisp'!G$42:H$70,2,FALSE))),VLOOKUP(C188,'Deflatores Sisp'!G$42:H$70,2,FALSE),IF(OR(ISBLANK(D188),ISBLANK(C188)),"",VLOOKUP(D188,'Deflatores Sisp'!G$4:H$38,2,FALSE)*K188+VLOOKUP(D188,'Deflatores Sisp'!G$4:I$38,3,FALSE)))*W188,"")</f>
        <v>5.7</v>
      </c>
      <c r="P188" s="120" t="s">
        <v>59</v>
      </c>
      <c r="Q188" s="68" t="s">
        <v>59</v>
      </c>
      <c r="R188" s="68" t="s">
        <v>59</v>
      </c>
      <c r="S188" s="68" t="s">
        <v>59</v>
      </c>
      <c r="T188" s="68" t="s">
        <v>59</v>
      </c>
      <c r="U188" s="68"/>
      <c r="V188" s="121"/>
      <c r="W188" s="121">
        <f t="shared" si="241"/>
        <v>0.95000000000000007</v>
      </c>
      <c r="X188" s="119"/>
      <c r="Y188" s="4"/>
      <c r="Z188" s="73">
        <f t="shared" si="242"/>
        <v>0.25</v>
      </c>
      <c r="AA188" s="73">
        <f t="shared" si="243"/>
        <v>0.1</v>
      </c>
      <c r="AB188" s="73">
        <f t="shared" si="244"/>
        <v>0.4</v>
      </c>
      <c r="AC188" s="73">
        <f t="shared" si="245"/>
        <v>0.15</v>
      </c>
      <c r="AD188" s="73">
        <f t="shared" si="246"/>
        <v>0.05</v>
      </c>
      <c r="AE188" s="73">
        <f t="shared" si="247"/>
        <v>0</v>
      </c>
    </row>
    <row r="189" spans="1:31" ht="33.75" customHeight="1">
      <c r="A189" s="158" t="s">
        <v>667</v>
      </c>
      <c r="B189" s="166" t="s">
        <v>757</v>
      </c>
      <c r="C189" s="165" t="s">
        <v>60</v>
      </c>
      <c r="D189" s="165" t="s">
        <v>66</v>
      </c>
      <c r="E189" s="168">
        <v>14</v>
      </c>
      <c r="F189" s="164" t="s">
        <v>728</v>
      </c>
      <c r="G189" s="169">
        <v>2</v>
      </c>
      <c r="H189" s="166" t="s">
        <v>678</v>
      </c>
      <c r="I189" s="79" t="str">
        <f t="shared" si="235"/>
        <v>Média</v>
      </c>
      <c r="J189" s="66" t="str">
        <f t="shared" si="236"/>
        <v>EEA</v>
      </c>
      <c r="K189" s="67">
        <f t="shared" si="237"/>
        <v>4</v>
      </c>
      <c r="L189" s="70" t="str">
        <f t="shared" si="238"/>
        <v>A</v>
      </c>
      <c r="M189" s="69" t="str">
        <f t="shared" si="239"/>
        <v>EEI</v>
      </c>
      <c r="N189" s="71">
        <f t="shared" si="240"/>
        <v>4</v>
      </c>
      <c r="O189" s="78">
        <f>IFERROR(IF(NOT(ISERROR(VLOOKUP(C189,'Deflatores Sisp'!G$42:H$70,2,FALSE))),VLOOKUP(C189,'Deflatores Sisp'!G$42:H$70,2,FALSE),IF(OR(ISBLANK(D189),ISBLANK(C189)),"",VLOOKUP(D189,'Deflatores Sisp'!G$4:H$38,2,FALSE)*K189+VLOOKUP(D189,'Deflatores Sisp'!G$4:I$38,3,FALSE)))*W189,"")</f>
        <v>3.8000000000000003</v>
      </c>
      <c r="P189" s="120" t="s">
        <v>59</v>
      </c>
      <c r="Q189" s="68" t="s">
        <v>59</v>
      </c>
      <c r="R189" s="68" t="s">
        <v>59</v>
      </c>
      <c r="S189" s="68" t="s">
        <v>59</v>
      </c>
      <c r="T189" s="68" t="s">
        <v>59</v>
      </c>
      <c r="U189" s="68"/>
      <c r="V189" s="121"/>
      <c r="W189" s="121">
        <f t="shared" si="241"/>
        <v>0.95000000000000007</v>
      </c>
      <c r="X189" s="119"/>
      <c r="Y189" s="4"/>
      <c r="Z189" s="73">
        <f t="shared" si="242"/>
        <v>0.25</v>
      </c>
      <c r="AA189" s="73">
        <f t="shared" si="243"/>
        <v>0.1</v>
      </c>
      <c r="AB189" s="73">
        <f t="shared" si="244"/>
        <v>0.4</v>
      </c>
      <c r="AC189" s="73">
        <f t="shared" si="245"/>
        <v>0.15</v>
      </c>
      <c r="AD189" s="73">
        <f t="shared" si="246"/>
        <v>0.05</v>
      </c>
      <c r="AE189" s="73">
        <f t="shared" si="247"/>
        <v>0</v>
      </c>
    </row>
    <row r="190" spans="1:31" ht="33.75" customHeight="1">
      <c r="A190" s="158" t="s">
        <v>667</v>
      </c>
      <c r="B190" s="166" t="s">
        <v>758</v>
      </c>
      <c r="C190" s="165" t="s">
        <v>60</v>
      </c>
      <c r="D190" s="165" t="s">
        <v>66</v>
      </c>
      <c r="E190" s="168">
        <v>8</v>
      </c>
      <c r="F190" s="164" t="s">
        <v>729</v>
      </c>
      <c r="G190" s="169">
        <v>3</v>
      </c>
      <c r="H190" s="166" t="s">
        <v>730</v>
      </c>
      <c r="I190" s="79" t="str">
        <f t="shared" si="235"/>
        <v>Alta</v>
      </c>
      <c r="J190" s="66" t="str">
        <f t="shared" si="236"/>
        <v>EEH</v>
      </c>
      <c r="K190" s="67">
        <f t="shared" si="237"/>
        <v>6</v>
      </c>
      <c r="L190" s="70" t="str">
        <f t="shared" si="238"/>
        <v>H</v>
      </c>
      <c r="M190" s="69" t="str">
        <f t="shared" si="239"/>
        <v>EEI</v>
      </c>
      <c r="N190" s="71">
        <f t="shared" si="240"/>
        <v>6</v>
      </c>
      <c r="O190" s="78">
        <f>IFERROR(IF(NOT(ISERROR(VLOOKUP(C190,'Deflatores Sisp'!G$42:H$70,2,FALSE))),VLOOKUP(C190,'Deflatores Sisp'!G$42:H$70,2,FALSE),IF(OR(ISBLANK(D190),ISBLANK(C190)),"",VLOOKUP(D190,'Deflatores Sisp'!G$4:H$38,2,FALSE)*K190+VLOOKUP(D190,'Deflatores Sisp'!G$4:I$38,3,FALSE)))*W190,"")</f>
        <v>5.4</v>
      </c>
      <c r="P190" s="120" t="s">
        <v>59</v>
      </c>
      <c r="Q190" s="68" t="s">
        <v>59</v>
      </c>
      <c r="R190" s="68" t="s">
        <v>59</v>
      </c>
      <c r="S190" s="68" t="s">
        <v>59</v>
      </c>
      <c r="T190" s="68"/>
      <c r="U190" s="68"/>
      <c r="V190" s="121"/>
      <c r="W190" s="121">
        <f t="shared" si="241"/>
        <v>0.9</v>
      </c>
      <c r="X190" s="119"/>
      <c r="Y190" s="4"/>
      <c r="Z190" s="73">
        <f t="shared" si="242"/>
        <v>0.25</v>
      </c>
      <c r="AA190" s="73">
        <f t="shared" si="243"/>
        <v>0.1</v>
      </c>
      <c r="AB190" s="73">
        <f t="shared" si="244"/>
        <v>0.4</v>
      </c>
      <c r="AC190" s="73">
        <f t="shared" si="245"/>
        <v>0.15</v>
      </c>
      <c r="AD190" s="73">
        <f t="shared" si="246"/>
        <v>0</v>
      </c>
      <c r="AE190" s="73">
        <f t="shared" si="247"/>
        <v>0</v>
      </c>
    </row>
    <row r="191" spans="1:31" ht="33.75" customHeight="1">
      <c r="A191" s="158" t="s">
        <v>667</v>
      </c>
      <c r="B191" s="166" t="s">
        <v>759</v>
      </c>
      <c r="C191" s="165" t="s">
        <v>57</v>
      </c>
      <c r="D191" s="165" t="s">
        <v>66</v>
      </c>
      <c r="E191" s="168">
        <v>10</v>
      </c>
      <c r="F191" s="164" t="s">
        <v>731</v>
      </c>
      <c r="G191" s="169">
        <v>2</v>
      </c>
      <c r="H191" s="166" t="s">
        <v>680</v>
      </c>
      <c r="I191" s="79" t="str">
        <f t="shared" si="235"/>
        <v>Média</v>
      </c>
      <c r="J191" s="66" t="str">
        <f t="shared" si="236"/>
        <v>SEA</v>
      </c>
      <c r="K191" s="67">
        <f t="shared" si="237"/>
        <v>5</v>
      </c>
      <c r="L191" s="70" t="str">
        <f t="shared" si="238"/>
        <v>A</v>
      </c>
      <c r="M191" s="69" t="str">
        <f t="shared" si="239"/>
        <v>SEI</v>
      </c>
      <c r="N191" s="71">
        <f t="shared" si="240"/>
        <v>5</v>
      </c>
      <c r="O191" s="78">
        <f>IFERROR(IF(NOT(ISERROR(VLOOKUP(C191,'Deflatores Sisp'!G$42:H$70,2,FALSE))),VLOOKUP(C191,'Deflatores Sisp'!G$42:H$70,2,FALSE),IF(OR(ISBLANK(D191),ISBLANK(C191)),"",VLOOKUP(D191,'Deflatores Sisp'!G$4:H$38,2,FALSE)*K191+VLOOKUP(D191,'Deflatores Sisp'!G$4:I$38,3,FALSE)))*W191,"")</f>
        <v>4.75</v>
      </c>
      <c r="P191" s="120" t="s">
        <v>59</v>
      </c>
      <c r="Q191" s="68" t="s">
        <v>59</v>
      </c>
      <c r="R191" s="68" t="s">
        <v>59</v>
      </c>
      <c r="S191" s="68" t="s">
        <v>59</v>
      </c>
      <c r="T191" s="68" t="s">
        <v>59</v>
      </c>
      <c r="U191" s="68"/>
      <c r="V191" s="121"/>
      <c r="W191" s="121">
        <f t="shared" si="241"/>
        <v>0.95000000000000007</v>
      </c>
      <c r="X191" s="119"/>
      <c r="Y191" s="4"/>
      <c r="Z191" s="73">
        <f t="shared" si="242"/>
        <v>0.25</v>
      </c>
      <c r="AA191" s="73">
        <f t="shared" si="243"/>
        <v>0.1</v>
      </c>
      <c r="AB191" s="73">
        <f t="shared" si="244"/>
        <v>0.4</v>
      </c>
      <c r="AC191" s="73">
        <f t="shared" si="245"/>
        <v>0.15</v>
      </c>
      <c r="AD191" s="73">
        <f t="shared" si="246"/>
        <v>0.05</v>
      </c>
      <c r="AE191" s="73">
        <f t="shared" si="247"/>
        <v>0</v>
      </c>
    </row>
    <row r="192" spans="1:31" ht="33.75" customHeight="1">
      <c r="A192" s="158" t="s">
        <v>667</v>
      </c>
      <c r="B192" s="166" t="s">
        <v>760</v>
      </c>
      <c r="C192" s="165" t="s">
        <v>64</v>
      </c>
      <c r="D192" s="165" t="s">
        <v>66</v>
      </c>
      <c r="E192" s="168">
        <v>5</v>
      </c>
      <c r="F192" s="164" t="s">
        <v>732</v>
      </c>
      <c r="G192" s="169">
        <v>1</v>
      </c>
      <c r="H192" s="166" t="s">
        <v>682</v>
      </c>
      <c r="I192" s="79" t="str">
        <f t="shared" si="235"/>
        <v>Baixa</v>
      </c>
      <c r="J192" s="66" t="str">
        <f t="shared" si="236"/>
        <v>CEL</v>
      </c>
      <c r="K192" s="67">
        <f t="shared" si="237"/>
        <v>3</v>
      </c>
      <c r="L192" s="70" t="str">
        <f t="shared" si="238"/>
        <v>L</v>
      </c>
      <c r="M192" s="69" t="str">
        <f t="shared" si="239"/>
        <v>CEI</v>
      </c>
      <c r="N192" s="71">
        <f t="shared" si="240"/>
        <v>3</v>
      </c>
      <c r="O192" s="78">
        <f>IFERROR(IF(NOT(ISERROR(VLOOKUP(C192,'Deflatores Sisp'!G$42:H$70,2,FALSE))),VLOOKUP(C192,'Deflatores Sisp'!G$42:H$70,2,FALSE),IF(OR(ISBLANK(D192),ISBLANK(C192)),"",VLOOKUP(D192,'Deflatores Sisp'!G$4:H$38,2,FALSE)*K192+VLOOKUP(D192,'Deflatores Sisp'!G$4:I$38,3,FALSE)))*W192,"")</f>
        <v>2.85</v>
      </c>
      <c r="P192" s="120" t="s">
        <v>59</v>
      </c>
      <c r="Q192" s="68" t="s">
        <v>59</v>
      </c>
      <c r="R192" s="68" t="s">
        <v>59</v>
      </c>
      <c r="S192" s="68" t="s">
        <v>59</v>
      </c>
      <c r="T192" s="68" t="s">
        <v>59</v>
      </c>
      <c r="U192" s="68"/>
      <c r="V192" s="121"/>
      <c r="W192" s="121">
        <f t="shared" si="241"/>
        <v>0.95000000000000007</v>
      </c>
      <c r="X192" s="119"/>
      <c r="Y192" s="4"/>
      <c r="Z192" s="73">
        <f t="shared" si="242"/>
        <v>0.25</v>
      </c>
      <c r="AA192" s="73">
        <f t="shared" si="243"/>
        <v>0.1</v>
      </c>
      <c r="AB192" s="73">
        <f t="shared" si="244"/>
        <v>0.4</v>
      </c>
      <c r="AC192" s="73">
        <f t="shared" si="245"/>
        <v>0.15</v>
      </c>
      <c r="AD192" s="73">
        <f t="shared" si="246"/>
        <v>0.05</v>
      </c>
      <c r="AE192" s="73">
        <f t="shared" si="247"/>
        <v>0</v>
      </c>
    </row>
    <row r="193" spans="1:31" ht="33.75" customHeight="1">
      <c r="A193" s="158" t="s">
        <v>667</v>
      </c>
      <c r="B193" s="166" t="s">
        <v>761</v>
      </c>
      <c r="C193" s="165" t="s">
        <v>65</v>
      </c>
      <c r="D193" s="165" t="s">
        <v>63</v>
      </c>
      <c r="E193" s="168">
        <v>18</v>
      </c>
      <c r="F193" s="164" t="s">
        <v>683</v>
      </c>
      <c r="G193" s="169">
        <v>3</v>
      </c>
      <c r="H193" s="166" t="s">
        <v>684</v>
      </c>
      <c r="I193" s="79" t="str">
        <f t="shared" si="235"/>
        <v>Baixa</v>
      </c>
      <c r="J193" s="66" t="str">
        <f t="shared" si="236"/>
        <v>ALIL</v>
      </c>
      <c r="K193" s="67">
        <f t="shared" si="237"/>
        <v>7</v>
      </c>
      <c r="L193" s="70" t="str">
        <f t="shared" si="238"/>
        <v>L</v>
      </c>
      <c r="M193" s="69" t="str">
        <f t="shared" si="239"/>
        <v>ALIA</v>
      </c>
      <c r="N193" s="71">
        <f t="shared" si="240"/>
        <v>7</v>
      </c>
      <c r="O193" s="78">
        <f>IFERROR(IF(NOT(ISERROR(VLOOKUP(C193,'Deflatores Sisp'!G$42:H$70,2,FALSE))),VLOOKUP(C193,'Deflatores Sisp'!G$42:H$70,2,FALSE),IF(OR(ISBLANK(D193),ISBLANK(C193)),"",VLOOKUP(D193,'Deflatores Sisp'!G$4:H$38,2,FALSE)*K193+VLOOKUP(D193,'Deflatores Sisp'!G$4:I$38,3,FALSE)))*W193,"")</f>
        <v>5.3200000000000012</v>
      </c>
      <c r="P193" s="120" t="s">
        <v>59</v>
      </c>
      <c r="Q193" s="68" t="s">
        <v>59</v>
      </c>
      <c r="R193" s="68" t="s">
        <v>59</v>
      </c>
      <c r="S193" s="68" t="s">
        <v>59</v>
      </c>
      <c r="T193" s="68" t="s">
        <v>59</v>
      </c>
      <c r="U193" s="68"/>
      <c r="V193" s="121"/>
      <c r="W193" s="121">
        <f t="shared" si="241"/>
        <v>0.95000000000000007</v>
      </c>
      <c r="X193" s="119"/>
      <c r="Y193" s="4"/>
      <c r="Z193" s="73">
        <f t="shared" si="242"/>
        <v>0.25</v>
      </c>
      <c r="AA193" s="73">
        <f t="shared" si="243"/>
        <v>0.1</v>
      </c>
      <c r="AB193" s="73">
        <f t="shared" si="244"/>
        <v>0.4</v>
      </c>
      <c r="AC193" s="73">
        <f t="shared" si="245"/>
        <v>0.15</v>
      </c>
      <c r="AD193" s="73">
        <f t="shared" si="246"/>
        <v>0.05</v>
      </c>
      <c r="AE193" s="73">
        <f t="shared" si="247"/>
        <v>0</v>
      </c>
    </row>
    <row r="194" spans="1:31" ht="33.75" customHeight="1">
      <c r="A194" s="158" t="s">
        <v>667</v>
      </c>
      <c r="B194" s="166" t="s">
        <v>762</v>
      </c>
      <c r="C194" s="165" t="s">
        <v>65</v>
      </c>
      <c r="D194" s="165" t="s">
        <v>66</v>
      </c>
      <c r="E194" s="168">
        <v>9</v>
      </c>
      <c r="F194" s="164" t="s">
        <v>733</v>
      </c>
      <c r="G194" s="169">
        <v>2</v>
      </c>
      <c r="H194" s="166" t="s">
        <v>734</v>
      </c>
      <c r="I194" s="79" t="str">
        <f t="shared" si="235"/>
        <v>Baixa</v>
      </c>
      <c r="J194" s="66" t="str">
        <f t="shared" si="236"/>
        <v>ALIL</v>
      </c>
      <c r="K194" s="67">
        <f t="shared" si="237"/>
        <v>7</v>
      </c>
      <c r="L194" s="70" t="str">
        <f t="shared" si="238"/>
        <v>L</v>
      </c>
      <c r="M194" s="69" t="str">
        <f t="shared" si="239"/>
        <v>ALII</v>
      </c>
      <c r="N194" s="71">
        <f t="shared" si="240"/>
        <v>7</v>
      </c>
      <c r="O194" s="78">
        <f>IFERROR(IF(NOT(ISERROR(VLOOKUP(C194,'Deflatores Sisp'!G$42:H$70,2,FALSE))),VLOOKUP(C194,'Deflatores Sisp'!G$42:H$70,2,FALSE),IF(OR(ISBLANK(D194),ISBLANK(C194)),"",VLOOKUP(D194,'Deflatores Sisp'!G$4:H$38,2,FALSE)*K194+VLOOKUP(D194,'Deflatores Sisp'!G$4:I$38,3,FALSE)))*W194,"")</f>
        <v>6.65</v>
      </c>
      <c r="P194" s="120" t="s">
        <v>59</v>
      </c>
      <c r="Q194" s="68" t="s">
        <v>59</v>
      </c>
      <c r="R194" s="68" t="s">
        <v>59</v>
      </c>
      <c r="S194" s="68" t="s">
        <v>59</v>
      </c>
      <c r="T194" s="68" t="s">
        <v>59</v>
      </c>
      <c r="U194" s="68"/>
      <c r="V194" s="121"/>
      <c r="W194" s="121">
        <f t="shared" si="241"/>
        <v>0.95000000000000007</v>
      </c>
      <c r="X194" s="119"/>
      <c r="Y194" s="4"/>
      <c r="Z194" s="73">
        <f t="shared" si="242"/>
        <v>0.25</v>
      </c>
      <c r="AA194" s="73">
        <f t="shared" si="243"/>
        <v>0.1</v>
      </c>
      <c r="AB194" s="73">
        <f t="shared" si="244"/>
        <v>0.4</v>
      </c>
      <c r="AC194" s="73">
        <f t="shared" si="245"/>
        <v>0.15</v>
      </c>
      <c r="AD194" s="73">
        <f t="shared" si="246"/>
        <v>0.05</v>
      </c>
      <c r="AE194" s="73">
        <f t="shared" si="247"/>
        <v>0</v>
      </c>
    </row>
    <row r="195" spans="1:31" ht="33.75" customHeight="1">
      <c r="A195" s="158" t="s">
        <v>667</v>
      </c>
      <c r="B195" s="166" t="s">
        <v>763</v>
      </c>
      <c r="C195" s="165" t="s">
        <v>60</v>
      </c>
      <c r="D195" s="165" t="s">
        <v>66</v>
      </c>
      <c r="E195" s="168">
        <v>9</v>
      </c>
      <c r="F195" s="164" t="s">
        <v>735</v>
      </c>
      <c r="G195" s="169">
        <v>4</v>
      </c>
      <c r="H195" s="166" t="s">
        <v>685</v>
      </c>
      <c r="I195" s="79" t="str">
        <f t="shared" si="235"/>
        <v>Alta</v>
      </c>
      <c r="J195" s="66" t="str">
        <f t="shared" si="236"/>
        <v>EEH</v>
      </c>
      <c r="K195" s="67">
        <f t="shared" si="237"/>
        <v>6</v>
      </c>
      <c r="L195" s="70" t="str">
        <f t="shared" si="238"/>
        <v>H</v>
      </c>
      <c r="M195" s="69" t="str">
        <f t="shared" si="239"/>
        <v>EEI</v>
      </c>
      <c r="N195" s="71">
        <f t="shared" si="240"/>
        <v>6</v>
      </c>
      <c r="O195" s="78">
        <f>IFERROR(IF(NOT(ISERROR(VLOOKUP(C195,'Deflatores Sisp'!G$42:H$70,2,FALSE))),VLOOKUP(C195,'Deflatores Sisp'!G$42:H$70,2,FALSE),IF(OR(ISBLANK(D195),ISBLANK(C195)),"",VLOOKUP(D195,'Deflatores Sisp'!G$4:H$38,2,FALSE)*K195+VLOOKUP(D195,'Deflatores Sisp'!G$4:I$38,3,FALSE)))*W195,"")</f>
        <v>5.7</v>
      </c>
      <c r="P195" s="120" t="s">
        <v>59</v>
      </c>
      <c r="Q195" s="68" t="s">
        <v>59</v>
      </c>
      <c r="R195" s="68" t="s">
        <v>59</v>
      </c>
      <c r="S195" s="68" t="s">
        <v>59</v>
      </c>
      <c r="T195" s="68" t="s">
        <v>59</v>
      </c>
      <c r="U195" s="68"/>
      <c r="V195" s="121"/>
      <c r="W195" s="121">
        <f t="shared" si="241"/>
        <v>0.95000000000000007</v>
      </c>
      <c r="X195" s="119"/>
      <c r="Y195" s="4"/>
      <c r="Z195" s="73">
        <f t="shared" si="242"/>
        <v>0.25</v>
      </c>
      <c r="AA195" s="73">
        <f t="shared" si="243"/>
        <v>0.1</v>
      </c>
      <c r="AB195" s="73">
        <f t="shared" si="244"/>
        <v>0.4</v>
      </c>
      <c r="AC195" s="73">
        <f t="shared" si="245"/>
        <v>0.15</v>
      </c>
      <c r="AD195" s="73">
        <f t="shared" si="246"/>
        <v>0.05</v>
      </c>
      <c r="AE195" s="73">
        <f t="shared" si="247"/>
        <v>0</v>
      </c>
    </row>
    <row r="196" spans="1:31" ht="33.75" customHeight="1">
      <c r="A196" s="158" t="s">
        <v>667</v>
      </c>
      <c r="B196" s="166" t="s">
        <v>764</v>
      </c>
      <c r="C196" s="165" t="s">
        <v>57</v>
      </c>
      <c r="D196" s="165" t="s">
        <v>66</v>
      </c>
      <c r="E196" s="168">
        <v>12</v>
      </c>
      <c r="F196" s="164" t="s">
        <v>736</v>
      </c>
      <c r="G196" s="169">
        <v>4</v>
      </c>
      <c r="H196" s="166" t="s">
        <v>737</v>
      </c>
      <c r="I196" s="79" t="str">
        <f t="shared" si="235"/>
        <v>Alta</v>
      </c>
      <c r="J196" s="66" t="str">
        <f t="shared" si="236"/>
        <v>SEH</v>
      </c>
      <c r="K196" s="67">
        <f t="shared" si="237"/>
        <v>7</v>
      </c>
      <c r="L196" s="70" t="str">
        <f t="shared" si="238"/>
        <v>H</v>
      </c>
      <c r="M196" s="69" t="str">
        <f t="shared" si="239"/>
        <v>SEI</v>
      </c>
      <c r="N196" s="71">
        <f t="shared" si="240"/>
        <v>7</v>
      </c>
      <c r="O196" s="78">
        <f>IFERROR(IF(NOT(ISERROR(VLOOKUP(C196,'Deflatores Sisp'!G$42:H$70,2,FALSE))),VLOOKUP(C196,'Deflatores Sisp'!G$42:H$70,2,FALSE),IF(OR(ISBLANK(D196),ISBLANK(C196)),"",VLOOKUP(D196,'Deflatores Sisp'!G$4:H$38,2,FALSE)*K196+VLOOKUP(D196,'Deflatores Sisp'!G$4:I$38,3,FALSE)))*W196,"")</f>
        <v>6.3</v>
      </c>
      <c r="P196" s="120" t="s">
        <v>59</v>
      </c>
      <c r="Q196" s="68" t="s">
        <v>59</v>
      </c>
      <c r="R196" s="68" t="s">
        <v>59</v>
      </c>
      <c r="S196" s="68" t="s">
        <v>59</v>
      </c>
      <c r="T196" s="68"/>
      <c r="U196" s="68"/>
      <c r="V196" s="121"/>
      <c r="W196" s="121">
        <f t="shared" si="241"/>
        <v>0.9</v>
      </c>
      <c r="X196" s="119"/>
      <c r="Y196" s="4"/>
      <c r="Z196" s="73">
        <f t="shared" si="242"/>
        <v>0.25</v>
      </c>
      <c r="AA196" s="73">
        <f t="shared" si="243"/>
        <v>0.1</v>
      </c>
      <c r="AB196" s="73">
        <f t="shared" si="244"/>
        <v>0.4</v>
      </c>
      <c r="AC196" s="73">
        <f t="shared" si="245"/>
        <v>0.15</v>
      </c>
      <c r="AD196" s="73">
        <f t="shared" si="246"/>
        <v>0</v>
      </c>
      <c r="AE196" s="73">
        <f t="shared" si="247"/>
        <v>0</v>
      </c>
    </row>
    <row r="197" spans="1:31" ht="33.75" customHeight="1">
      <c r="A197" s="158" t="s">
        <v>667</v>
      </c>
      <c r="B197" s="166" t="s">
        <v>765</v>
      </c>
      <c r="C197" s="165" t="s">
        <v>60</v>
      </c>
      <c r="D197" s="165" t="s">
        <v>66</v>
      </c>
      <c r="E197" s="168">
        <v>10</v>
      </c>
      <c r="F197" s="164" t="s">
        <v>739</v>
      </c>
      <c r="G197" s="169">
        <v>2</v>
      </c>
      <c r="H197" s="166" t="s">
        <v>740</v>
      </c>
      <c r="I197" s="79" t="str">
        <f t="shared" si="235"/>
        <v>Média</v>
      </c>
      <c r="J197" s="66" t="str">
        <f t="shared" si="236"/>
        <v>EEA</v>
      </c>
      <c r="K197" s="67">
        <f t="shared" si="237"/>
        <v>4</v>
      </c>
      <c r="L197" s="70" t="str">
        <f t="shared" si="238"/>
        <v>A</v>
      </c>
      <c r="M197" s="69" t="str">
        <f t="shared" si="239"/>
        <v>EEI</v>
      </c>
      <c r="N197" s="71">
        <f t="shared" si="240"/>
        <v>4</v>
      </c>
      <c r="O197" s="78">
        <f>IFERROR(IF(NOT(ISERROR(VLOOKUP(C197,'Deflatores Sisp'!G$42:H$70,2,FALSE))),VLOOKUP(C197,'Deflatores Sisp'!G$42:H$70,2,FALSE),IF(OR(ISBLANK(D197),ISBLANK(C197)),"",VLOOKUP(D197,'Deflatores Sisp'!G$4:H$38,2,FALSE)*K197+VLOOKUP(D197,'Deflatores Sisp'!G$4:I$38,3,FALSE)))*W197,"")</f>
        <v>3.8000000000000003</v>
      </c>
      <c r="P197" s="120" t="s">
        <v>59</v>
      </c>
      <c r="Q197" s="68" t="s">
        <v>59</v>
      </c>
      <c r="R197" s="68" t="s">
        <v>59</v>
      </c>
      <c r="S197" s="68" t="s">
        <v>59</v>
      </c>
      <c r="T197" s="68" t="s">
        <v>59</v>
      </c>
      <c r="U197" s="68"/>
      <c r="V197" s="121"/>
      <c r="W197" s="121">
        <f t="shared" si="241"/>
        <v>0.95000000000000007</v>
      </c>
      <c r="X197" s="119"/>
      <c r="Y197" s="4"/>
      <c r="Z197" s="73">
        <f t="shared" si="242"/>
        <v>0.25</v>
      </c>
      <c r="AA197" s="73">
        <f t="shared" si="243"/>
        <v>0.1</v>
      </c>
      <c r="AB197" s="73">
        <f t="shared" si="244"/>
        <v>0.4</v>
      </c>
      <c r="AC197" s="73">
        <f t="shared" si="245"/>
        <v>0.15</v>
      </c>
      <c r="AD197" s="73">
        <f t="shared" si="246"/>
        <v>0.05</v>
      </c>
      <c r="AE197" s="73">
        <f t="shared" si="247"/>
        <v>0</v>
      </c>
    </row>
    <row r="198" spans="1:31" ht="33.75" customHeight="1">
      <c r="A198" s="158" t="s">
        <v>667</v>
      </c>
      <c r="B198" s="166" t="s">
        <v>766</v>
      </c>
      <c r="C198" s="165" t="s">
        <v>60</v>
      </c>
      <c r="D198" s="165" t="s">
        <v>66</v>
      </c>
      <c r="E198" s="168">
        <v>8</v>
      </c>
      <c r="F198" s="164" t="s">
        <v>741</v>
      </c>
      <c r="G198" s="169">
        <v>2</v>
      </c>
      <c r="H198" s="166" t="s">
        <v>742</v>
      </c>
      <c r="I198" s="79" t="str">
        <f t="shared" ref="I198:I202" si="248">IF(ISBLANK(C198),"",IF(L198="L","Baixa",IF(L198="A","Média",IF(L198="","","Alta"))))</f>
        <v>Média</v>
      </c>
      <c r="J198" s="66" t="str">
        <f t="shared" ref="J198:J202" si="249">CONCATENATE(C198,L198)</f>
        <v>EEA</v>
      </c>
      <c r="K198" s="67">
        <f t="shared" ref="K198:K202" si="250">IF(ISBLANK(C198),"",IF(C198="ALI",IF(L198="L",7,IF(L198="A",10,15)),IF(C198="AIE",IF(L198="L",5,IF(L198="A",7,10)),IF(C198="SE",IF(L198="L",4,IF(L198="A",5,7)),IF(OR(C198="EE",C198="CE"),IF(L198="L",3,IF(L198="A",4,6)),0)))))</f>
        <v>4</v>
      </c>
      <c r="L198" s="70" t="str">
        <f t="shared" ref="L198:L202" si="251">IF(OR(ISBLANK(E198),ISBLANK(G198)),IF(OR(C198="ALI",C198="AIE"),"L",IF(OR(C198="EE",C198="SE",C198="CE"),"A","")),IF(C198="EE",IF(G198&gt;=3,IF(E198&gt;=5,"H","A"),IF(G198&gt;=2,IF(E198&gt;=16,"H",IF(E198&lt;=4,"L","A")),IF(E198&lt;=15,"L","A"))),IF(OR(C198="SE",C198="CE"),IF(G198&gt;=4,IF(E198&gt;=6,"H","A"),IF(G198&gt;=2,IF(E198&gt;=20,"H",IF(E198&lt;=5,"L","A")),IF(E198&lt;=19,"L","A"))),IF(OR(C198="ALI",C198="AIE"),IF(G198&gt;=6,IF(E198&gt;=20,"H","A"),IF(G198&gt;=2,IF(E198&gt;=51,"H",IF(E198&lt;=19,"L","A")),IF(E198&lt;=50,"L","A"))),""))))</f>
        <v>A</v>
      </c>
      <c r="M198" s="69" t="str">
        <f t="shared" ref="M198:M202" si="252">CONCATENATE(C198,D198)</f>
        <v>EEI</v>
      </c>
      <c r="N198" s="71">
        <f t="shared" ref="N198:N202" si="253">IF(OR(K198="",K198=0),O198,K198)</f>
        <v>4</v>
      </c>
      <c r="O198" s="78">
        <f>IFERROR(IF(NOT(ISERROR(VLOOKUP(C198,'Deflatores Sisp'!G$42:H$70,2,FALSE))),VLOOKUP(C198,'Deflatores Sisp'!G$42:H$70,2,FALSE),IF(OR(ISBLANK(D198),ISBLANK(C198)),"",VLOOKUP(D198,'Deflatores Sisp'!G$4:H$38,2,FALSE)*K198+VLOOKUP(D198,'Deflatores Sisp'!G$4:I$38,3,FALSE)))*W198,"")</f>
        <v>3.8000000000000003</v>
      </c>
      <c r="P198" s="120" t="s">
        <v>59</v>
      </c>
      <c r="Q198" s="68" t="s">
        <v>59</v>
      </c>
      <c r="R198" s="68" t="s">
        <v>59</v>
      </c>
      <c r="S198" s="68" t="s">
        <v>59</v>
      </c>
      <c r="T198" s="68" t="s">
        <v>59</v>
      </c>
      <c r="U198" s="68"/>
      <c r="V198" s="121"/>
      <c r="W198" s="121">
        <f t="shared" ref="W198:W202" si="254">IF(V198="",SUM(Z198:AE198),IF(C198="PA",E198,100%))</f>
        <v>0.95000000000000007</v>
      </c>
      <c r="X198" s="119"/>
      <c r="Y198" s="4"/>
      <c r="Z198" s="73">
        <f t="shared" ref="Z198:Z202" si="255">IF(P198="x",25%,0)</f>
        <v>0.25</v>
      </c>
      <c r="AA198" s="73">
        <f t="shared" ref="AA198:AA202" si="256">IF(Q198="x",10%,0)</f>
        <v>0.1</v>
      </c>
      <c r="AB198" s="73">
        <f t="shared" ref="AB198:AB202" si="257">IF(R198="x",40%,0)</f>
        <v>0.4</v>
      </c>
      <c r="AC198" s="73">
        <f t="shared" ref="AC198:AC202" si="258">IF(S198="x",15%,0)</f>
        <v>0.15</v>
      </c>
      <c r="AD198" s="73">
        <f t="shared" ref="AD198:AD202" si="259">IF(T198="x",5%,0)</f>
        <v>0.05</v>
      </c>
      <c r="AE198" s="73">
        <f t="shared" ref="AE198:AE202" si="260">IF(U198="x",5%,0)</f>
        <v>0</v>
      </c>
    </row>
    <row r="199" spans="1:31" ht="33.75" customHeight="1">
      <c r="A199" s="158" t="s">
        <v>667</v>
      </c>
      <c r="B199" s="166" t="s">
        <v>767</v>
      </c>
      <c r="C199" s="165" t="s">
        <v>60</v>
      </c>
      <c r="D199" s="165" t="s">
        <v>66</v>
      </c>
      <c r="E199" s="168">
        <v>9</v>
      </c>
      <c r="F199" s="164" t="s">
        <v>743</v>
      </c>
      <c r="G199" s="169">
        <v>2</v>
      </c>
      <c r="H199" s="166" t="s">
        <v>744</v>
      </c>
      <c r="I199" s="79" t="str">
        <f t="shared" si="248"/>
        <v>Média</v>
      </c>
      <c r="J199" s="66" t="str">
        <f t="shared" si="249"/>
        <v>EEA</v>
      </c>
      <c r="K199" s="67">
        <f t="shared" si="250"/>
        <v>4</v>
      </c>
      <c r="L199" s="70" t="str">
        <f t="shared" si="251"/>
        <v>A</v>
      </c>
      <c r="M199" s="69" t="str">
        <f t="shared" si="252"/>
        <v>EEI</v>
      </c>
      <c r="N199" s="71">
        <f t="shared" si="253"/>
        <v>4</v>
      </c>
      <c r="O199" s="78">
        <f>IFERROR(IF(NOT(ISERROR(VLOOKUP(C199,'Deflatores Sisp'!G$42:H$70,2,FALSE))),VLOOKUP(C199,'Deflatores Sisp'!G$42:H$70,2,FALSE),IF(OR(ISBLANK(D199),ISBLANK(C199)),"",VLOOKUP(D199,'Deflatores Sisp'!G$4:H$38,2,FALSE)*K199+VLOOKUP(D199,'Deflatores Sisp'!G$4:I$38,3,FALSE)))*W199,"")</f>
        <v>3.8000000000000003</v>
      </c>
      <c r="P199" s="120" t="s">
        <v>59</v>
      </c>
      <c r="Q199" s="68" t="s">
        <v>59</v>
      </c>
      <c r="R199" s="68" t="s">
        <v>59</v>
      </c>
      <c r="S199" s="68" t="s">
        <v>59</v>
      </c>
      <c r="T199" s="68" t="s">
        <v>59</v>
      </c>
      <c r="U199" s="68"/>
      <c r="V199" s="121"/>
      <c r="W199" s="121">
        <f t="shared" si="254"/>
        <v>0.95000000000000007</v>
      </c>
      <c r="X199" s="119"/>
      <c r="Y199" s="4"/>
      <c r="Z199" s="73">
        <f t="shared" si="255"/>
        <v>0.25</v>
      </c>
      <c r="AA199" s="73">
        <f t="shared" si="256"/>
        <v>0.1</v>
      </c>
      <c r="AB199" s="73">
        <f t="shared" si="257"/>
        <v>0.4</v>
      </c>
      <c r="AC199" s="73">
        <f t="shared" si="258"/>
        <v>0.15</v>
      </c>
      <c r="AD199" s="73">
        <f t="shared" si="259"/>
        <v>0.05</v>
      </c>
      <c r="AE199" s="73">
        <f t="shared" si="260"/>
        <v>0</v>
      </c>
    </row>
    <row r="200" spans="1:31" ht="33.75" customHeight="1">
      <c r="A200" s="158" t="s">
        <v>667</v>
      </c>
      <c r="B200" s="166" t="s">
        <v>768</v>
      </c>
      <c r="C200" s="165" t="s">
        <v>60</v>
      </c>
      <c r="D200" s="165" t="s">
        <v>66</v>
      </c>
      <c r="E200" s="168">
        <v>6</v>
      </c>
      <c r="F200" s="164" t="s">
        <v>745</v>
      </c>
      <c r="G200" s="169">
        <v>2</v>
      </c>
      <c r="H200" s="166" t="s">
        <v>746</v>
      </c>
      <c r="I200" s="79" t="str">
        <f t="shared" si="248"/>
        <v>Média</v>
      </c>
      <c r="J200" s="66" t="str">
        <f t="shared" si="249"/>
        <v>EEA</v>
      </c>
      <c r="K200" s="67">
        <f t="shared" si="250"/>
        <v>4</v>
      </c>
      <c r="L200" s="70" t="str">
        <f t="shared" si="251"/>
        <v>A</v>
      </c>
      <c r="M200" s="69" t="str">
        <f t="shared" si="252"/>
        <v>EEI</v>
      </c>
      <c r="N200" s="71">
        <f t="shared" si="253"/>
        <v>4</v>
      </c>
      <c r="O200" s="78">
        <f>IFERROR(IF(NOT(ISERROR(VLOOKUP(C200,'Deflatores Sisp'!G$42:H$70,2,FALSE))),VLOOKUP(C200,'Deflatores Sisp'!G$42:H$70,2,FALSE),IF(OR(ISBLANK(D200),ISBLANK(C200)),"",VLOOKUP(D200,'Deflatores Sisp'!G$4:H$38,2,FALSE)*K200+VLOOKUP(D200,'Deflatores Sisp'!G$4:I$38,3,FALSE)))*W200,"")</f>
        <v>3.6</v>
      </c>
      <c r="P200" s="120" t="s">
        <v>59</v>
      </c>
      <c r="Q200" s="68" t="s">
        <v>59</v>
      </c>
      <c r="R200" s="68" t="s">
        <v>59</v>
      </c>
      <c r="S200" s="68" t="s">
        <v>59</v>
      </c>
      <c r="T200" s="68"/>
      <c r="U200" s="68"/>
      <c r="V200" s="121"/>
      <c r="W200" s="121">
        <f t="shared" si="254"/>
        <v>0.9</v>
      </c>
      <c r="X200" s="119"/>
      <c r="Y200" s="4"/>
      <c r="Z200" s="73">
        <f t="shared" si="255"/>
        <v>0.25</v>
      </c>
      <c r="AA200" s="73">
        <f t="shared" si="256"/>
        <v>0.1</v>
      </c>
      <c r="AB200" s="73">
        <f t="shared" si="257"/>
        <v>0.4</v>
      </c>
      <c r="AC200" s="73">
        <f t="shared" si="258"/>
        <v>0.15</v>
      </c>
      <c r="AD200" s="73">
        <f t="shared" si="259"/>
        <v>0</v>
      </c>
      <c r="AE200" s="73">
        <f t="shared" si="260"/>
        <v>0</v>
      </c>
    </row>
    <row r="201" spans="1:31" ht="33.75" customHeight="1">
      <c r="A201" s="158" t="s">
        <v>667</v>
      </c>
      <c r="B201" s="166" t="s">
        <v>769</v>
      </c>
      <c r="C201" s="165" t="s">
        <v>64</v>
      </c>
      <c r="D201" s="165" t="s">
        <v>66</v>
      </c>
      <c r="E201" s="168">
        <v>12</v>
      </c>
      <c r="F201" s="164" t="s">
        <v>747</v>
      </c>
      <c r="G201" s="169">
        <v>3</v>
      </c>
      <c r="H201" s="166" t="s">
        <v>748</v>
      </c>
      <c r="I201" s="79" t="str">
        <f t="shared" si="248"/>
        <v>Média</v>
      </c>
      <c r="J201" s="66" t="str">
        <f t="shared" si="249"/>
        <v>CEA</v>
      </c>
      <c r="K201" s="67">
        <f t="shared" si="250"/>
        <v>4</v>
      </c>
      <c r="L201" s="70" t="str">
        <f t="shared" si="251"/>
        <v>A</v>
      </c>
      <c r="M201" s="69" t="str">
        <f t="shared" si="252"/>
        <v>CEI</v>
      </c>
      <c r="N201" s="71">
        <f t="shared" si="253"/>
        <v>4</v>
      </c>
      <c r="O201" s="78">
        <f>IFERROR(IF(NOT(ISERROR(VLOOKUP(C201,'Deflatores Sisp'!G$42:H$70,2,FALSE))),VLOOKUP(C201,'Deflatores Sisp'!G$42:H$70,2,FALSE),IF(OR(ISBLANK(D201),ISBLANK(C201)),"",VLOOKUP(D201,'Deflatores Sisp'!G$4:H$38,2,FALSE)*K201+VLOOKUP(D201,'Deflatores Sisp'!G$4:I$38,3,FALSE)))*W201,"")</f>
        <v>3.6</v>
      </c>
      <c r="P201" s="120" t="s">
        <v>59</v>
      </c>
      <c r="Q201" s="68" t="s">
        <v>59</v>
      </c>
      <c r="R201" s="68" t="s">
        <v>59</v>
      </c>
      <c r="S201" s="68" t="s">
        <v>59</v>
      </c>
      <c r="T201" s="68"/>
      <c r="U201" s="68"/>
      <c r="V201" s="121"/>
      <c r="W201" s="121">
        <f t="shared" si="254"/>
        <v>0.9</v>
      </c>
      <c r="X201" s="119"/>
      <c r="Y201" s="4"/>
      <c r="Z201" s="73">
        <f t="shared" si="255"/>
        <v>0.25</v>
      </c>
      <c r="AA201" s="73">
        <f t="shared" si="256"/>
        <v>0.1</v>
      </c>
      <c r="AB201" s="73">
        <f t="shared" si="257"/>
        <v>0.4</v>
      </c>
      <c r="AC201" s="73">
        <f t="shared" si="258"/>
        <v>0.15</v>
      </c>
      <c r="AD201" s="73">
        <f t="shared" si="259"/>
        <v>0</v>
      </c>
      <c r="AE201" s="73">
        <f t="shared" si="260"/>
        <v>0</v>
      </c>
    </row>
    <row r="202" spans="1:31" ht="33.75" customHeight="1">
      <c r="A202" s="158" t="s">
        <v>667</v>
      </c>
      <c r="B202" s="166" t="s">
        <v>770</v>
      </c>
      <c r="C202" s="165" t="s">
        <v>64</v>
      </c>
      <c r="D202" s="165" t="s">
        <v>66</v>
      </c>
      <c r="E202" s="168">
        <v>10</v>
      </c>
      <c r="F202" s="164" t="s">
        <v>749</v>
      </c>
      <c r="G202" s="169">
        <v>3</v>
      </c>
      <c r="H202" s="166" t="s">
        <v>750</v>
      </c>
      <c r="I202" s="79" t="str">
        <f t="shared" si="248"/>
        <v>Média</v>
      </c>
      <c r="J202" s="66" t="str">
        <f t="shared" si="249"/>
        <v>CEA</v>
      </c>
      <c r="K202" s="67">
        <f t="shared" si="250"/>
        <v>4</v>
      </c>
      <c r="L202" s="70" t="str">
        <f t="shared" si="251"/>
        <v>A</v>
      </c>
      <c r="M202" s="69" t="str">
        <f t="shared" si="252"/>
        <v>CEI</v>
      </c>
      <c r="N202" s="71">
        <f t="shared" si="253"/>
        <v>4</v>
      </c>
      <c r="O202" s="78">
        <f>IFERROR(IF(NOT(ISERROR(VLOOKUP(C202,'Deflatores Sisp'!G$42:H$70,2,FALSE))),VLOOKUP(C202,'Deflatores Sisp'!G$42:H$70,2,FALSE),IF(OR(ISBLANK(D202),ISBLANK(C202)),"",VLOOKUP(D202,'Deflatores Sisp'!G$4:H$38,2,FALSE)*K202+VLOOKUP(D202,'Deflatores Sisp'!G$4:I$38,3,FALSE)))*W202,"")</f>
        <v>3.8000000000000003</v>
      </c>
      <c r="P202" s="120" t="s">
        <v>59</v>
      </c>
      <c r="Q202" s="68" t="s">
        <v>59</v>
      </c>
      <c r="R202" s="68" t="s">
        <v>59</v>
      </c>
      <c r="S202" s="68" t="s">
        <v>59</v>
      </c>
      <c r="T202" s="68" t="s">
        <v>59</v>
      </c>
      <c r="U202" s="68"/>
      <c r="V202" s="121"/>
      <c r="W202" s="121">
        <f t="shared" si="254"/>
        <v>0.95000000000000007</v>
      </c>
      <c r="X202" s="119"/>
      <c r="Y202" s="4"/>
      <c r="Z202" s="73">
        <f t="shared" si="255"/>
        <v>0.25</v>
      </c>
      <c r="AA202" s="73">
        <f t="shared" si="256"/>
        <v>0.1</v>
      </c>
      <c r="AB202" s="73">
        <f t="shared" si="257"/>
        <v>0.4</v>
      </c>
      <c r="AC202" s="73">
        <f t="shared" si="258"/>
        <v>0.15</v>
      </c>
      <c r="AD202" s="73">
        <f t="shared" si="259"/>
        <v>0.05</v>
      </c>
      <c r="AE202" s="73">
        <f t="shared" si="260"/>
        <v>0</v>
      </c>
    </row>
  </sheetData>
  <sheetProtection insertColumns="0" insertRows="0" insertHyperlinks="0" deleteColumns="0" deleteRows="0" selectLockedCells="1" selectUnlockedCells="1"/>
  <mergeCells count="8">
    <mergeCell ref="A1:Y3"/>
    <mergeCell ref="A6:I6"/>
    <mergeCell ref="X5:Y5"/>
    <mergeCell ref="X6:Y6"/>
    <mergeCell ref="X4:Y4"/>
    <mergeCell ref="P5:W6"/>
    <mergeCell ref="A4:B4"/>
    <mergeCell ref="A5:B5"/>
  </mergeCells>
  <phoneticPr fontId="34" type="noConversion"/>
  <dataValidations disablePrompts="1" count="2">
    <dataValidation type="list" allowBlank="1" showInputMessage="1" showErrorMessage="1" sqref="C8" xr:uid="{64B48E26-BC77-4B45-A1AB-5EA517D11B9E}">
      <formula1>"AIE,ALI,EE,CE,SE"</formula1>
    </dataValidation>
    <dataValidation type="list" operator="equal" allowBlank="1" showInputMessage="1" showErrorMessage="1" promptTitle="Tipo de Manutenção na Função" prompt="I, A, E _x000a_ou_x000a_Itens não mensuráveis" sqref="D8" xr:uid="{729CE5E6-1067-4F6D-8D64-3C9EE6638F77}">
      <formula1>TiposDeManutencao</formula1>
      <formula2>0</formula2>
    </dataValidation>
  </dataValidations>
  <pageMargins left="0.70833333333333337" right="0.70833333333333337" top="0.74791666666666667" bottom="0.74861111111111112" header="0.51180555555555551" footer="0.31527777777777777"/>
  <pageSetup paperSize="9" scale="76" firstPageNumber="0" fitToHeight="0" orientation="landscape" horizontalDpi="300" verticalDpi="300" r:id="rId1"/>
  <headerFooter alignWithMargins="0">
    <oddFooter>&amp;CPágina &amp;P de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A3AC6-8D0E-42A3-92C1-4266F20FF5C6}">
  <sheetPr codeName="Plan3"/>
  <dimension ref="A1:N70"/>
  <sheetViews>
    <sheetView showGridLines="0" zoomScaleNormal="100" zoomScaleSheetLayoutView="100" workbookViewId="0">
      <pane ySplit="1" topLeftCell="A15" activePane="bottomLeft" state="frozen"/>
      <selection activeCell="B11" sqref="B11"/>
      <selection pane="bottomLeft" activeCell="G58" sqref="G58"/>
    </sheetView>
  </sheetViews>
  <sheetFormatPr defaultColWidth="11.44140625" defaultRowHeight="13.2"/>
  <cols>
    <col min="1" max="1" width="17.44140625" bestFit="1" customWidth="1"/>
    <col min="4" max="4" width="10.6640625" customWidth="1"/>
    <col min="5" max="5" width="23.33203125" customWidth="1"/>
    <col min="6" max="6" width="53.33203125" customWidth="1"/>
    <col min="7" max="7" width="7.6640625" style="6" customWidth="1"/>
    <col min="8" max="8" width="13.33203125" style="7" customWidth="1"/>
    <col min="9" max="9" width="9.88671875" style="7" customWidth="1"/>
    <col min="10" max="10" width="10.44140625" customWidth="1"/>
    <col min="11" max="11" width="9.44140625" bestFit="1" customWidth="1"/>
    <col min="12" max="12" width="9.44140625" customWidth="1"/>
    <col min="13" max="13" width="12.44140625" style="6" hidden="1" customWidth="1"/>
    <col min="14" max="14" width="0" hidden="1" customWidth="1"/>
  </cols>
  <sheetData>
    <row r="1" spans="1:14" ht="36.75" customHeight="1">
      <c r="A1" s="215" t="s">
        <v>69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141"/>
      <c r="M1" s="8"/>
    </row>
    <row r="2" spans="1:14" ht="15" customHeight="1">
      <c r="A2" s="214" t="s">
        <v>70</v>
      </c>
      <c r="B2" s="214"/>
      <c r="C2" s="214"/>
      <c r="D2" s="214"/>
      <c r="E2" s="214"/>
      <c r="F2" s="214"/>
      <c r="G2" s="211" t="s">
        <v>71</v>
      </c>
      <c r="H2" s="211" t="s">
        <v>72</v>
      </c>
      <c r="I2" s="211"/>
      <c r="J2" s="211" t="s">
        <v>43</v>
      </c>
      <c r="K2" s="197" t="s">
        <v>73</v>
      </c>
      <c r="L2" s="197" t="s">
        <v>74</v>
      </c>
      <c r="M2" s="197" t="s">
        <v>75</v>
      </c>
      <c r="N2" s="146">
        <f>SUM(L4:L38)</f>
        <v>24.050000000000022</v>
      </c>
    </row>
    <row r="3" spans="1:14" ht="15" customHeight="1">
      <c r="A3" s="104" t="s">
        <v>76</v>
      </c>
      <c r="B3" s="211" t="s">
        <v>25</v>
      </c>
      <c r="C3" s="211"/>
      <c r="D3" s="211"/>
      <c r="E3" s="211"/>
      <c r="F3" s="105" t="s">
        <v>77</v>
      </c>
      <c r="G3" s="211"/>
      <c r="H3" s="105" t="s">
        <v>78</v>
      </c>
      <c r="I3" s="105" t="s">
        <v>79</v>
      </c>
      <c r="J3" s="211"/>
      <c r="K3" s="197"/>
      <c r="L3" s="197"/>
      <c r="M3" s="197"/>
    </row>
    <row r="4" spans="1:14">
      <c r="A4" s="106" t="s">
        <v>80</v>
      </c>
      <c r="B4" s="198" t="s">
        <v>81</v>
      </c>
      <c r="C4" s="198"/>
      <c r="D4" s="198"/>
      <c r="E4" s="198"/>
      <c r="F4" s="1"/>
      <c r="G4" s="9" t="s">
        <v>66</v>
      </c>
      <c r="H4" s="20">
        <v>1</v>
      </c>
      <c r="I4" s="21"/>
      <c r="J4" s="93">
        <f>SUMIF(Funções!$D$8:$D$104,'Deflatores Sisp'!G4,Funções!$K$8:$K$104)</f>
        <v>481</v>
      </c>
      <c r="K4" s="94">
        <f>IF(H4="",COUNTIF(Funções!D$8:D$104,G4)*I4,H4*J4)</f>
        <v>481</v>
      </c>
      <c r="L4" s="93">
        <f>SUMIF(Funções!$D$8:$D$104,'Deflatores Sisp'!G4,Funções!$O$8:$O$104)</f>
        <v>24.050000000000022</v>
      </c>
      <c r="M4" s="6" t="s">
        <v>82</v>
      </c>
    </row>
    <row r="5" spans="1:14">
      <c r="A5" s="106" t="s">
        <v>80</v>
      </c>
      <c r="B5" s="198" t="s">
        <v>83</v>
      </c>
      <c r="C5" s="198"/>
      <c r="D5" s="198"/>
      <c r="E5" s="198"/>
      <c r="F5" s="1" t="s">
        <v>84</v>
      </c>
      <c r="G5" s="9" t="s">
        <v>63</v>
      </c>
      <c r="H5" s="20">
        <v>0.8</v>
      </c>
      <c r="I5" s="21"/>
      <c r="J5" s="93">
        <f>SUMIF(Funções!$D$8:$D$104,'Deflatores Sisp'!G5,Funções!$K$8:$K$104)</f>
        <v>0</v>
      </c>
      <c r="K5" s="94">
        <f>IF(H5="",COUNTIF(Funções!D$8:D$104,G5)*I5,H5*J5)</f>
        <v>0</v>
      </c>
      <c r="L5" s="93">
        <f>SUMIF(Funções!$D$8:$D$104,'Deflatores Sisp'!G5,Funções!$O$8:$O$104)</f>
        <v>0</v>
      </c>
      <c r="M5" s="6" t="s">
        <v>85</v>
      </c>
    </row>
    <row r="6" spans="1:14">
      <c r="A6" s="106" t="s">
        <v>80</v>
      </c>
      <c r="B6" s="198" t="s">
        <v>86</v>
      </c>
      <c r="C6" s="198"/>
      <c r="D6" s="198"/>
      <c r="E6" s="198"/>
      <c r="F6" s="1" t="s">
        <v>84</v>
      </c>
      <c r="G6" s="9" t="s">
        <v>87</v>
      </c>
      <c r="H6" s="20">
        <v>0.4</v>
      </c>
      <c r="I6" s="21"/>
      <c r="J6" s="93">
        <f>SUMIF(Funções!$D$8:$D$104,'Deflatores Sisp'!G6,Funções!$K$8:$K$104)</f>
        <v>0</v>
      </c>
      <c r="K6" s="94">
        <f>IF(H6="",COUNTIF(Funções!D$8:D$104,G6)*I6,H6*J6)</f>
        <v>0</v>
      </c>
      <c r="L6" s="93">
        <f>SUMIF(Funções!$D$8:$D$104,'Deflatores Sisp'!G6,Funções!$O$8:$O$104)</f>
        <v>0</v>
      </c>
      <c r="M6" s="6" t="s">
        <v>88</v>
      </c>
    </row>
    <row r="7" spans="1:14">
      <c r="A7" s="106" t="s">
        <v>80</v>
      </c>
      <c r="B7" s="198" t="s">
        <v>89</v>
      </c>
      <c r="C7" s="198"/>
      <c r="D7" s="198"/>
      <c r="E7" s="198"/>
      <c r="F7" s="1" t="s">
        <v>84</v>
      </c>
      <c r="G7" s="9" t="s">
        <v>90</v>
      </c>
      <c r="H7" s="20">
        <v>0.5</v>
      </c>
      <c r="I7" s="21"/>
      <c r="J7" s="93">
        <f>SUMIF(Funções!$D$8:$D$104,'Deflatores Sisp'!G7,Funções!$K$8:$K$104)</f>
        <v>0</v>
      </c>
      <c r="K7" s="94">
        <f>IF(H7="",COUNTIF(Funções!D$8:D$104,G7)*I7,H7*J7)</f>
        <v>0</v>
      </c>
      <c r="L7" s="93">
        <f>SUMIF(Funções!$D$8:$D$104,'Deflatores Sisp'!G7,Funções!$O$8:$O$104)</f>
        <v>0</v>
      </c>
      <c r="M7" s="6" t="s">
        <v>85</v>
      </c>
    </row>
    <row r="8" spans="1:14" ht="49.35" customHeight="1">
      <c r="A8" s="106" t="s">
        <v>80</v>
      </c>
      <c r="B8" s="216" t="s">
        <v>91</v>
      </c>
      <c r="C8" s="216"/>
      <c r="D8" s="216"/>
      <c r="E8" s="216"/>
      <c r="F8" s="1" t="s">
        <v>84</v>
      </c>
      <c r="G8" s="9" t="s">
        <v>92</v>
      </c>
      <c r="H8" s="20">
        <v>0.75</v>
      </c>
      <c r="I8" s="21"/>
      <c r="J8" s="93">
        <f>SUMIF(Funções!$D$8:$D$104,'Deflatores Sisp'!G8,Funções!$K$8:$K$104)</f>
        <v>0</v>
      </c>
      <c r="K8" s="94">
        <f>IF(H8="",COUNTIF(Funções!D$8:D$104,G8)*I8,H8*J8)</f>
        <v>0</v>
      </c>
      <c r="L8" s="93">
        <f>SUMIF(Funções!$D$8:$D$104,'Deflatores Sisp'!G8,Funções!$O$8:$O$104)</f>
        <v>0</v>
      </c>
      <c r="M8" s="6" t="s">
        <v>85</v>
      </c>
    </row>
    <row r="9" spans="1:14">
      <c r="A9" s="106" t="s">
        <v>80</v>
      </c>
      <c r="B9" s="198" t="s">
        <v>93</v>
      </c>
      <c r="C9" s="198"/>
      <c r="D9" s="198"/>
      <c r="E9" s="198"/>
      <c r="F9" s="1" t="s">
        <v>84</v>
      </c>
      <c r="G9" s="9" t="s">
        <v>94</v>
      </c>
      <c r="H9" s="20">
        <v>0.9</v>
      </c>
      <c r="I9" s="21"/>
      <c r="J9" s="93">
        <f>SUMIF(Funções!$D$8:$D$104,'Deflatores Sisp'!G9,Funções!$K$8:$K$104)</f>
        <v>0</v>
      </c>
      <c r="K9" s="94">
        <f>IF(H9="",COUNTIF(Funções!D$8:D$104,G9)*I9,H9*J9)</f>
        <v>0</v>
      </c>
      <c r="L9" s="93">
        <f>SUMIF(Funções!$D$8:$D$104,'Deflatores Sisp'!G9,Funções!$O$8:$O$104)</f>
        <v>0</v>
      </c>
      <c r="M9" s="6" t="s">
        <v>85</v>
      </c>
    </row>
    <row r="10" spans="1:14">
      <c r="A10" s="106" t="s">
        <v>80</v>
      </c>
      <c r="B10" s="198" t="s">
        <v>95</v>
      </c>
      <c r="C10" s="198"/>
      <c r="D10" s="198"/>
      <c r="E10" s="198"/>
      <c r="F10" s="1" t="s">
        <v>96</v>
      </c>
      <c r="G10" s="9" t="s">
        <v>97</v>
      </c>
      <c r="H10" s="20">
        <v>1</v>
      </c>
      <c r="I10" s="21"/>
      <c r="J10" s="93">
        <f>SUMIF(Funções!$D$8:$D$104,'Deflatores Sisp'!G10,Funções!$K$8:$K$104)</f>
        <v>0</v>
      </c>
      <c r="K10" s="94">
        <f>IF(H10="",COUNTIF(Funções!D$8:D$104,G10)*I10,H10*J10)</f>
        <v>0</v>
      </c>
      <c r="L10" s="93">
        <f>SUMIF(Funções!$D$8:$D$104,'Deflatores Sisp'!G10,Funções!$O$8:$O$104)</f>
        <v>0</v>
      </c>
      <c r="M10" s="6" t="s">
        <v>82</v>
      </c>
    </row>
    <row r="11" spans="1:14">
      <c r="A11" s="106" t="s">
        <v>80</v>
      </c>
      <c r="B11" s="198" t="s">
        <v>98</v>
      </c>
      <c r="C11" s="198"/>
      <c r="D11" s="198"/>
      <c r="E11" s="198"/>
      <c r="F11" s="1" t="s">
        <v>99</v>
      </c>
      <c r="G11" s="9" t="s">
        <v>100</v>
      </c>
      <c r="H11" s="20">
        <v>0.5</v>
      </c>
      <c r="I11" s="21"/>
      <c r="J11" s="93">
        <f>SUMIF(Funções!$D$8:$D$104,'Deflatores Sisp'!G11,Funções!$K$8:$K$104)</f>
        <v>0</v>
      </c>
      <c r="K11" s="94">
        <f>IF(H11="",COUNTIF(Funções!D$8:D$104,G11)*I11,H11*J11)</f>
        <v>0</v>
      </c>
      <c r="L11" s="93">
        <f>SUMIF(Funções!$D$8:$D$104,'Deflatores Sisp'!G11,Funções!$O$8:$O$104)</f>
        <v>0</v>
      </c>
      <c r="M11" s="6" t="s">
        <v>101</v>
      </c>
    </row>
    <row r="12" spans="1:14" ht="13.5" customHeight="1">
      <c r="A12" s="106" t="s">
        <v>80</v>
      </c>
      <c r="B12" s="198" t="s">
        <v>102</v>
      </c>
      <c r="C12" s="198"/>
      <c r="D12" s="198"/>
      <c r="E12" s="198"/>
      <c r="F12" s="1" t="s">
        <v>99</v>
      </c>
      <c r="G12" s="9" t="s">
        <v>58</v>
      </c>
      <c r="H12" s="20">
        <v>0.5</v>
      </c>
      <c r="I12" s="21"/>
      <c r="J12" s="93">
        <f>SUMIF(Funções!$D$8:$D$104,'Deflatores Sisp'!G12,Funções!$K$8:$K$104)</f>
        <v>0</v>
      </c>
      <c r="K12" s="94">
        <f>IF(H12="",COUNTIF(Funções!D$8:D$104,G12)*I12,H12*J12)</f>
        <v>0</v>
      </c>
      <c r="L12" s="93">
        <f>SUMIF(Funções!$D$8:$D$104,'Deflatores Sisp'!G12,Funções!$O$8:$O$104)</f>
        <v>0</v>
      </c>
      <c r="M12" s="6" t="s">
        <v>101</v>
      </c>
    </row>
    <row r="13" spans="1:14" ht="13.5" customHeight="1">
      <c r="A13" s="106" t="s">
        <v>80</v>
      </c>
      <c r="B13" s="198" t="s">
        <v>103</v>
      </c>
      <c r="C13" s="198"/>
      <c r="D13" s="198"/>
      <c r="E13" s="198"/>
      <c r="F13" s="1" t="s">
        <v>99</v>
      </c>
      <c r="G13" s="9" t="s">
        <v>104</v>
      </c>
      <c r="H13" s="20">
        <v>0.75</v>
      </c>
      <c r="I13" s="21"/>
      <c r="J13" s="93">
        <f>SUMIF(Funções!$D$8:$D$104,'Deflatores Sisp'!G13,Funções!$K$8:$K$104)</f>
        <v>0</v>
      </c>
      <c r="K13" s="94">
        <f>IF(H13="",COUNTIF(Funções!D$8:D$104,G13)*I13,H13*J13)</f>
        <v>0</v>
      </c>
      <c r="L13" s="93">
        <f>SUMIF(Funções!$D$8:$D$104,'Deflatores Sisp'!G13,Funções!$O$8:$O$104)</f>
        <v>0</v>
      </c>
      <c r="M13" s="6" t="s">
        <v>101</v>
      </c>
    </row>
    <row r="14" spans="1:14" ht="13.5" customHeight="1">
      <c r="A14" s="106" t="s">
        <v>80</v>
      </c>
      <c r="B14" s="198" t="s">
        <v>105</v>
      </c>
      <c r="C14" s="198"/>
      <c r="D14" s="198"/>
      <c r="E14" s="198"/>
      <c r="F14" s="1" t="s">
        <v>99</v>
      </c>
      <c r="G14" s="9" t="s">
        <v>106</v>
      </c>
      <c r="H14" s="20">
        <v>0.9</v>
      </c>
      <c r="I14" s="21"/>
      <c r="J14" s="93">
        <f>SUMIF(Funções!$D$8:$D$104,'Deflatores Sisp'!G14,Funções!$K$8:$K$104)</f>
        <v>0</v>
      </c>
      <c r="K14" s="94">
        <f>IF(H14="",COUNTIF(Funções!D$8:D$104,G14)*I14,H14*J14)</f>
        <v>0</v>
      </c>
      <c r="L14" s="93">
        <f>SUMIF(Funções!$D$8:$D$104,'Deflatores Sisp'!G14,Funções!$O$8:$O$104)</f>
        <v>0</v>
      </c>
      <c r="M14" s="6" t="s">
        <v>101</v>
      </c>
    </row>
    <row r="15" spans="1:14" ht="13.5" customHeight="1">
      <c r="A15" s="106" t="s">
        <v>80</v>
      </c>
      <c r="B15" s="198" t="s">
        <v>107</v>
      </c>
      <c r="C15" s="198"/>
      <c r="D15" s="198"/>
      <c r="E15" s="198"/>
      <c r="F15" s="1" t="s">
        <v>99</v>
      </c>
      <c r="G15" s="9" t="s">
        <v>108</v>
      </c>
      <c r="H15" s="20">
        <v>0</v>
      </c>
      <c r="I15" s="21"/>
      <c r="J15" s="93">
        <f>SUMIF(Funções!$D$8:$D$104,'Deflatores Sisp'!G15,Funções!$K$8:$K$104)</f>
        <v>0</v>
      </c>
      <c r="K15" s="94">
        <f>IF(H15="",COUNTIF(Funções!D$8:D$104,G15)*I15,H15*J15)</f>
        <v>0</v>
      </c>
      <c r="L15" s="93">
        <f>SUMIF(Funções!$D$8:$D$104,'Deflatores Sisp'!G15,Funções!$O$8:$O$104)</f>
        <v>0</v>
      </c>
    </row>
    <row r="16" spans="1:14" ht="13.5" customHeight="1">
      <c r="A16" s="106" t="s">
        <v>80</v>
      </c>
      <c r="B16" s="198" t="s">
        <v>109</v>
      </c>
      <c r="C16" s="198"/>
      <c r="D16" s="198"/>
      <c r="E16" s="198"/>
      <c r="F16" s="1" t="s">
        <v>110</v>
      </c>
      <c r="G16" s="9" t="s">
        <v>111</v>
      </c>
      <c r="H16" s="20">
        <v>1</v>
      </c>
      <c r="I16" s="21"/>
      <c r="J16" s="93">
        <f>SUMIF(Funções!$D$8:$D$104,'Deflatores Sisp'!G16,Funções!$K$8:$K$104)</f>
        <v>0</v>
      </c>
      <c r="K16" s="94">
        <f>IF(H16="",COUNTIF(Funções!D$8:D$104,G16)*I16,H16*J16)</f>
        <v>0</v>
      </c>
      <c r="L16" s="93">
        <f>SUMIF(Funções!$D$8:$D$104,'Deflatores Sisp'!G16,Funções!$O$8:$O$104)</f>
        <v>0</v>
      </c>
      <c r="M16" s="6" t="s">
        <v>112</v>
      </c>
    </row>
    <row r="17" spans="1:13">
      <c r="A17" s="106" t="s">
        <v>80</v>
      </c>
      <c r="B17" s="198" t="s">
        <v>113</v>
      </c>
      <c r="C17" s="198"/>
      <c r="D17" s="198"/>
      <c r="E17" s="198"/>
      <c r="F17" s="1" t="s">
        <v>114</v>
      </c>
      <c r="G17" s="9" t="s">
        <v>115</v>
      </c>
      <c r="H17" s="20">
        <v>1</v>
      </c>
      <c r="I17" s="21"/>
      <c r="J17" s="93">
        <f>SUMIF(Funções!$D$8:$D$104,'Deflatores Sisp'!G17,Funções!$K$8:$K$104)</f>
        <v>0</v>
      </c>
      <c r="K17" s="94">
        <f>IF(H17="",COUNTIF(Funções!D$8:D$104,G17)*I17,H17*J17)</f>
        <v>0</v>
      </c>
      <c r="L17" s="93">
        <f>SUMIF(Funções!$D$8:$D$104,'Deflatores Sisp'!G17,Funções!$O$8:$O$104)</f>
        <v>0</v>
      </c>
      <c r="M17" s="6" t="s">
        <v>112</v>
      </c>
    </row>
    <row r="18" spans="1:13" ht="13.5" customHeight="1">
      <c r="A18" s="106" t="s">
        <v>80</v>
      </c>
      <c r="B18" s="198" t="s">
        <v>116</v>
      </c>
      <c r="C18" s="198"/>
      <c r="D18" s="198"/>
      <c r="E18" s="198"/>
      <c r="F18" s="1" t="s">
        <v>114</v>
      </c>
      <c r="G18" s="9" t="s">
        <v>117</v>
      </c>
      <c r="H18" s="20">
        <v>0.3</v>
      </c>
      <c r="I18" s="21"/>
      <c r="J18" s="93">
        <f>SUMIF(Funções!$D$8:$D$104,'Deflatores Sisp'!G18,Funções!$K$8:$K$104)</f>
        <v>0</v>
      </c>
      <c r="K18" s="94">
        <f>IF(H18="",COUNTIF(Funções!D$8:D$104,G18)*I18,H18*J18)</f>
        <v>0</v>
      </c>
      <c r="L18" s="93">
        <f>SUMIF(Funções!$D$8:$D$104,'Deflatores Sisp'!G18,Funções!$O$8:$O$104)</f>
        <v>0</v>
      </c>
      <c r="M18" s="6" t="s">
        <v>112</v>
      </c>
    </row>
    <row r="19" spans="1:13" ht="13.5" customHeight="1">
      <c r="A19" s="106" t="s">
        <v>80</v>
      </c>
      <c r="B19" s="198" t="s">
        <v>118</v>
      </c>
      <c r="C19" s="198"/>
      <c r="D19" s="198"/>
      <c r="E19" s="198"/>
      <c r="F19" s="1" t="s">
        <v>119</v>
      </c>
      <c r="G19" s="9" t="s">
        <v>120</v>
      </c>
      <c r="H19" s="20">
        <v>0.3</v>
      </c>
      <c r="I19" s="21"/>
      <c r="J19" s="93">
        <f>SUMIF(Funções!$D$8:$D$104,'Deflatores Sisp'!G19,Funções!$K$8:$K$104)</f>
        <v>0</v>
      </c>
      <c r="K19" s="94">
        <f>IF(H19="",COUNTIF(Funções!D$8:D$104,G19)*I19,H19*J19)</f>
        <v>0</v>
      </c>
      <c r="L19" s="93">
        <f>SUMIF(Funções!$D$8:$D$104,'Deflatores Sisp'!G19,Funções!$O$8:$O$104)</f>
        <v>0</v>
      </c>
      <c r="M19" s="6" t="s">
        <v>112</v>
      </c>
    </row>
    <row r="20" spans="1:13" ht="13.5" customHeight="1">
      <c r="A20" s="106" t="s">
        <v>80</v>
      </c>
      <c r="B20" s="198" t="s">
        <v>121</v>
      </c>
      <c r="C20" s="198"/>
      <c r="D20" s="198"/>
      <c r="E20" s="198"/>
      <c r="F20" s="1" t="s">
        <v>122</v>
      </c>
      <c r="G20" s="9" t="s">
        <v>123</v>
      </c>
      <c r="H20" s="20">
        <v>0.3</v>
      </c>
      <c r="I20" s="21"/>
      <c r="J20" s="93">
        <f>SUMIF(Funções!$D$8:$D$104,'Deflatores Sisp'!G20,Funções!$K$8:$K$104)</f>
        <v>0</v>
      </c>
      <c r="K20" s="94">
        <f>IF(H20="",COUNTIF(Funções!D$8:D$104,G20)*I20,H20*J20)</f>
        <v>0</v>
      </c>
      <c r="L20" s="93">
        <f>SUMIF(Funções!$D$8:$D$104,'Deflatores Sisp'!G20,Funções!$O$8:$O$104)</f>
        <v>0</v>
      </c>
      <c r="M20" s="6" t="s">
        <v>112</v>
      </c>
    </row>
    <row r="21" spans="1:13" ht="13.5" customHeight="1">
      <c r="A21" s="106" t="s">
        <v>80</v>
      </c>
      <c r="B21" s="198" t="s">
        <v>124</v>
      </c>
      <c r="C21" s="198"/>
      <c r="D21" s="198"/>
      <c r="E21" s="198"/>
      <c r="F21" s="1" t="s">
        <v>125</v>
      </c>
      <c r="G21" s="9" t="s">
        <v>126</v>
      </c>
      <c r="H21" s="20">
        <v>0.3</v>
      </c>
      <c r="I21" s="21"/>
      <c r="J21" s="93">
        <f>SUMIF(Funções!$D$8:$D$104,'Deflatores Sisp'!G21,Funções!$K$8:$K$104)</f>
        <v>0</v>
      </c>
      <c r="K21" s="94">
        <f>IF(H21="",COUNTIF(Funções!D$8:D$104,G21)*I21,H21*J21)</f>
        <v>0</v>
      </c>
      <c r="L21" s="93">
        <f>SUMIF(Funções!$D$8:$D$104,'Deflatores Sisp'!G21,Funções!$O$8:$O$104)</f>
        <v>0</v>
      </c>
      <c r="M21" s="6" t="s">
        <v>112</v>
      </c>
    </row>
    <row r="22" spans="1:13">
      <c r="A22" s="106" t="s">
        <v>80</v>
      </c>
      <c r="B22" s="198" t="s">
        <v>127</v>
      </c>
      <c r="C22" s="198"/>
      <c r="D22" s="198"/>
      <c r="E22" s="198"/>
      <c r="F22" s="1" t="s">
        <v>128</v>
      </c>
      <c r="G22" s="9" t="s">
        <v>129</v>
      </c>
      <c r="H22" s="20"/>
      <c r="I22" s="21">
        <v>0.6</v>
      </c>
      <c r="J22" s="93">
        <f>SUMIF(Funções!$D$8:$D$104,'Deflatores Sisp'!G22,Funções!$K$8:$K$104)</f>
        <v>0</v>
      </c>
      <c r="K22" s="94">
        <f>IF(H22="",COUNTIF(Funções!D$8:D$104,G22)*I22,H22*J22)</f>
        <v>0</v>
      </c>
      <c r="L22" s="93">
        <f>SUMIF(Funções!$D$8:$D$104,'Deflatores Sisp'!G22,Funções!$O$8:$O$104)</f>
        <v>0</v>
      </c>
      <c r="M22" s="6" t="s">
        <v>112</v>
      </c>
    </row>
    <row r="23" spans="1:13" ht="27" customHeight="1">
      <c r="A23" s="106" t="s">
        <v>80</v>
      </c>
      <c r="B23" s="217" t="s">
        <v>130</v>
      </c>
      <c r="C23" s="218"/>
      <c r="D23" s="218"/>
      <c r="E23" s="219"/>
      <c r="F23" s="19" t="s">
        <v>131</v>
      </c>
      <c r="G23" s="9" t="s">
        <v>132</v>
      </c>
      <c r="H23" s="20">
        <v>0.5</v>
      </c>
      <c r="I23" s="21"/>
      <c r="J23" s="93">
        <f>SUMIF(Funções!$D$8:$D$104,'Deflatores Sisp'!G23,Funções!$K$8:$K$104)</f>
        <v>0</v>
      </c>
      <c r="K23" s="94">
        <f>IF(H23="",COUNTIF(Funções!D$8:D$104,G23)*I23,H23*J23)</f>
        <v>0</v>
      </c>
      <c r="L23" s="93">
        <f>SUMIF(Funções!$D$8:$D$104,'Deflatores Sisp'!G23,Funções!$O$8:$O$104)</f>
        <v>0</v>
      </c>
      <c r="M23" s="6" t="s">
        <v>112</v>
      </c>
    </row>
    <row r="24" spans="1:13" ht="27" customHeight="1">
      <c r="A24" s="106" t="s">
        <v>80</v>
      </c>
      <c r="B24" s="217" t="s">
        <v>133</v>
      </c>
      <c r="C24" s="218"/>
      <c r="D24" s="218"/>
      <c r="E24" s="219"/>
      <c r="F24" s="19" t="s">
        <v>131</v>
      </c>
      <c r="G24" s="9" t="s">
        <v>134</v>
      </c>
      <c r="H24" s="20">
        <v>0.5</v>
      </c>
      <c r="I24" s="21"/>
      <c r="J24" s="93">
        <f>SUMIF(Funções!$D$8:$D$104,'Deflatores Sisp'!G24,Funções!$K$8:$K$104)</f>
        <v>0</v>
      </c>
      <c r="K24" s="94">
        <f>IF(H24="",COUNTIF(Funções!D$8:D$104,G24)*I24,H24*J24)</f>
        <v>0</v>
      </c>
      <c r="L24" s="93">
        <f>SUMIF(Funções!$D$8:$D$104,'Deflatores Sisp'!G24,Funções!$O$8:$O$104)</f>
        <v>0</v>
      </c>
      <c r="M24" s="6" t="s">
        <v>112</v>
      </c>
    </row>
    <row r="25" spans="1:13" ht="27" customHeight="1">
      <c r="A25" s="106" t="s">
        <v>80</v>
      </c>
      <c r="B25" s="216" t="s">
        <v>135</v>
      </c>
      <c r="C25" s="216"/>
      <c r="D25" s="216"/>
      <c r="E25" s="216"/>
      <c r="F25" s="19" t="s">
        <v>131</v>
      </c>
      <c r="G25" s="9" t="s">
        <v>136</v>
      </c>
      <c r="H25" s="20">
        <v>0.75</v>
      </c>
      <c r="I25" s="21"/>
      <c r="J25" s="93">
        <f>SUMIF(Funções!$D$8:$D$104,'Deflatores Sisp'!G25,Funções!$K$8:$K$104)</f>
        <v>0</v>
      </c>
      <c r="K25" s="94">
        <f>IF(H25="",COUNTIF(Funções!D$8:D$104,G25)*I25,H25*J25)</f>
        <v>0</v>
      </c>
      <c r="L25" s="93">
        <f>SUMIF(Funções!$D$8:$D$104,'Deflatores Sisp'!G25,Funções!$O$8:$O$104)</f>
        <v>0</v>
      </c>
      <c r="M25" s="6" t="s">
        <v>112</v>
      </c>
    </row>
    <row r="26" spans="1:13" ht="13.5" customHeight="1">
      <c r="A26" s="106" t="s">
        <v>80</v>
      </c>
      <c r="B26" s="198" t="s">
        <v>137</v>
      </c>
      <c r="C26" s="198"/>
      <c r="D26" s="198"/>
      <c r="E26" s="198"/>
      <c r="F26" s="1" t="s">
        <v>138</v>
      </c>
      <c r="G26" s="9" t="s">
        <v>139</v>
      </c>
      <c r="H26" s="20">
        <v>1</v>
      </c>
      <c r="I26" s="21"/>
      <c r="J26" s="93">
        <f>SUMIF(Funções!$D$8:$D$104,'Deflatores Sisp'!G26,Funções!$K$8:$K$104)</f>
        <v>0</v>
      </c>
      <c r="K26" s="94">
        <f>IF(H26="",COUNTIF(Funções!D$8:D$104,G26)*I26,H26*J26)</f>
        <v>0</v>
      </c>
      <c r="L26" s="93">
        <f>SUMIF(Funções!$D$8:$D$104,'Deflatores Sisp'!G26,Funções!$O$8:$O$104)</f>
        <v>0</v>
      </c>
      <c r="M26" s="6" t="s">
        <v>101</v>
      </c>
    </row>
    <row r="27" spans="1:13" ht="13.5" customHeight="1">
      <c r="A27" s="106" t="s">
        <v>80</v>
      </c>
      <c r="B27" s="198" t="s">
        <v>140</v>
      </c>
      <c r="C27" s="198"/>
      <c r="D27" s="198"/>
      <c r="E27" s="198"/>
      <c r="F27" s="1" t="s">
        <v>138</v>
      </c>
      <c r="G27" s="9" t="s">
        <v>141</v>
      </c>
      <c r="H27" s="20">
        <v>1</v>
      </c>
      <c r="I27" s="21"/>
      <c r="J27" s="93">
        <f>SUMIF(Funções!$D$8:$D$104,'Deflatores Sisp'!G27,Funções!$K$8:$K$104)</f>
        <v>0</v>
      </c>
      <c r="K27" s="94">
        <f>IF(H27="",COUNTIF(Funções!D$8:D$104,G27)*I27,H27*J27)</f>
        <v>0</v>
      </c>
      <c r="L27" s="93">
        <f>SUMIF(Funções!$D$8:$D$104,'Deflatores Sisp'!G27,Funções!$O$8:$O$104)</f>
        <v>0</v>
      </c>
      <c r="M27" s="6" t="s">
        <v>101</v>
      </c>
    </row>
    <row r="28" spans="1:13" ht="13.5" customHeight="1">
      <c r="A28" s="106" t="s">
        <v>80</v>
      </c>
      <c r="B28" s="198" t="s">
        <v>142</v>
      </c>
      <c r="C28" s="198"/>
      <c r="D28" s="198"/>
      <c r="E28" s="198"/>
      <c r="F28" s="1" t="s">
        <v>138</v>
      </c>
      <c r="G28" s="9" t="s">
        <v>143</v>
      </c>
      <c r="H28" s="20">
        <v>0.6</v>
      </c>
      <c r="I28" s="21"/>
      <c r="J28" s="93">
        <f>SUMIF(Funções!$D$8:$D$104,'Deflatores Sisp'!G28,Funções!$K$8:$K$104)</f>
        <v>0</v>
      </c>
      <c r="K28" s="94">
        <f>IF(H28="",COUNTIF(Funções!D$8:D$104,G28)*I28,H28*J28)</f>
        <v>0</v>
      </c>
      <c r="L28" s="93">
        <f>SUMIF(Funções!$D$8:$D$104,'Deflatores Sisp'!G28,Funções!$O$8:$O$104)</f>
        <v>0</v>
      </c>
      <c r="M28" s="6" t="s">
        <v>101</v>
      </c>
    </row>
    <row r="29" spans="1:13" ht="13.5" customHeight="1">
      <c r="A29" s="106" t="s">
        <v>80</v>
      </c>
      <c r="B29" s="198" t="s">
        <v>144</v>
      </c>
      <c r="C29" s="198"/>
      <c r="D29" s="198"/>
      <c r="E29" s="198"/>
      <c r="F29" s="1" t="s">
        <v>145</v>
      </c>
      <c r="G29" s="9" t="s">
        <v>146</v>
      </c>
      <c r="H29" s="20">
        <v>1</v>
      </c>
      <c r="I29" s="21"/>
      <c r="J29" s="93">
        <f>SUMIF(Funções!$D$8:$D$104,'Deflatores Sisp'!G29,Funções!$K$8:$K$104)</f>
        <v>0</v>
      </c>
      <c r="K29" s="94">
        <f>IF(H29="",COUNTIF(Funções!D$8:D$104,G29)*I29,H29*J29)</f>
        <v>0</v>
      </c>
      <c r="L29" s="93">
        <f>SUMIF(Funções!$D$8:$D$104,'Deflatores Sisp'!G29,Funções!$O$8:$O$104)</f>
        <v>0</v>
      </c>
      <c r="M29" s="6" t="s">
        <v>101</v>
      </c>
    </row>
    <row r="30" spans="1:13" ht="13.5" customHeight="1">
      <c r="A30" s="106" t="s">
        <v>80</v>
      </c>
      <c r="B30" s="198" t="s">
        <v>147</v>
      </c>
      <c r="C30" s="198"/>
      <c r="D30" s="198"/>
      <c r="E30" s="198"/>
      <c r="F30" s="1" t="s">
        <v>148</v>
      </c>
      <c r="G30" s="9" t="s">
        <v>149</v>
      </c>
      <c r="H30" s="20">
        <v>0.1</v>
      </c>
      <c r="I30" s="21"/>
      <c r="J30" s="93">
        <f>SUMIF(Funções!$D$8:$D$104,'Deflatores Sisp'!G30,Funções!$K$8:$K$104)</f>
        <v>0</v>
      </c>
      <c r="K30" s="94">
        <f>IF(H30="",COUNTIF(Funções!D$8:D$104,G30)*I30,H30*J30)</f>
        <v>0</v>
      </c>
      <c r="L30" s="93">
        <f>SUMIF(Funções!$D$8:$D$104,'Deflatores Sisp'!G30,Funções!$O$8:$O$104)</f>
        <v>0</v>
      </c>
      <c r="M30" s="6" t="s">
        <v>101</v>
      </c>
    </row>
    <row r="31" spans="1:13" ht="13.5" customHeight="1">
      <c r="A31" s="106" t="s">
        <v>80</v>
      </c>
      <c r="B31" s="198" t="s">
        <v>150</v>
      </c>
      <c r="C31" s="198"/>
      <c r="D31" s="198"/>
      <c r="E31" s="198"/>
      <c r="F31" s="1" t="s">
        <v>151</v>
      </c>
      <c r="G31" s="9" t="s">
        <v>152</v>
      </c>
      <c r="H31" s="20">
        <v>0.1</v>
      </c>
      <c r="I31" s="21"/>
      <c r="J31" s="93">
        <f>SUMIF(Funções!$D$8:$D$104,'Deflatores Sisp'!G31,Funções!$K$8:$K$104)</f>
        <v>0</v>
      </c>
      <c r="K31" s="94">
        <f>IF(H31="",COUNTIF(Funções!D$8:D$104,G31)*I31,H31*J31)</f>
        <v>0</v>
      </c>
      <c r="L31" s="93">
        <f>SUMIF(Funções!$D$8:$D$104,'Deflatores Sisp'!G31,Funções!$O$8:$O$104)</f>
        <v>0</v>
      </c>
      <c r="M31" s="6" t="s">
        <v>101</v>
      </c>
    </row>
    <row r="32" spans="1:13" ht="13.5" customHeight="1">
      <c r="A32" s="106" t="s">
        <v>80</v>
      </c>
      <c r="B32" s="24" t="s">
        <v>153</v>
      </c>
      <c r="C32" s="25"/>
      <c r="D32" s="25"/>
      <c r="E32" s="26"/>
      <c r="F32" s="1" t="s">
        <v>154</v>
      </c>
      <c r="G32" s="9" t="s">
        <v>155</v>
      </c>
      <c r="H32" s="20">
        <v>0.25</v>
      </c>
      <c r="I32" s="21"/>
      <c r="J32" s="93">
        <f>SUMIF(Funções!$D$8:$D$104,'Deflatores Sisp'!G32,Funções!$K$8:$K$104)</f>
        <v>0</v>
      </c>
      <c r="K32" s="94">
        <f>IF(H32="",COUNTIF(Funções!D$8:D$104,G32)*I32,H32*J32)</f>
        <v>0</v>
      </c>
      <c r="L32" s="93">
        <f>SUMIF(Funções!$D$8:$D$104,'Deflatores Sisp'!G32,Funções!$O$8:$O$104)</f>
        <v>0</v>
      </c>
      <c r="M32" s="6" t="s">
        <v>101</v>
      </c>
    </row>
    <row r="33" spans="1:13" ht="13.5" customHeight="1">
      <c r="A33" s="106" t="s">
        <v>80</v>
      </c>
      <c r="B33" s="24" t="s">
        <v>156</v>
      </c>
      <c r="C33" s="25"/>
      <c r="D33" s="25"/>
      <c r="E33" s="26"/>
      <c r="F33" s="1" t="s">
        <v>157</v>
      </c>
      <c r="G33" s="9" t="s">
        <v>158</v>
      </c>
      <c r="H33" s="20">
        <v>0.2</v>
      </c>
      <c r="I33" s="21"/>
      <c r="J33" s="93">
        <f>SUMIF(Funções!$D$8:$D$104,'Deflatores Sisp'!G33,Funções!$K$8:$K$104)</f>
        <v>0</v>
      </c>
      <c r="K33" s="94">
        <f>IF(H33="",COUNTIF(Funções!D$8:D$104,G33)*I33,H33*J33)</f>
        <v>0</v>
      </c>
      <c r="L33" s="93">
        <f>SUMIF(Funções!$D$8:$D$104,'Deflatores Sisp'!G33,Funções!$O$8:$O$104)</f>
        <v>0</v>
      </c>
      <c r="M33" s="6" t="s">
        <v>101</v>
      </c>
    </row>
    <row r="34" spans="1:13" ht="13.5" customHeight="1">
      <c r="A34" s="106" t="s">
        <v>80</v>
      </c>
      <c r="B34" s="24" t="s">
        <v>159</v>
      </c>
      <c r="C34" s="25"/>
      <c r="D34" s="25"/>
      <c r="E34" s="26"/>
      <c r="F34" s="1" t="s">
        <v>157</v>
      </c>
      <c r="G34" s="9" t="s">
        <v>160</v>
      </c>
      <c r="H34" s="20">
        <v>0.15</v>
      </c>
      <c r="I34" s="21"/>
      <c r="J34" s="93">
        <f>SUMIF(Funções!$D$8:$D$104,'Deflatores Sisp'!G34,Funções!$K$8:$K$104)</f>
        <v>0</v>
      </c>
      <c r="K34" s="94">
        <f>IF(H34="",COUNTIF(Funções!D$8:D$104,G34)*I34,H34*J34)</f>
        <v>0</v>
      </c>
      <c r="L34" s="93">
        <f>SUMIF(Funções!$D$8:$D$104,'Deflatores Sisp'!G34,Funções!$O$8:$O$104)</f>
        <v>0</v>
      </c>
      <c r="M34" s="6" t="s">
        <v>101</v>
      </c>
    </row>
    <row r="35" spans="1:13" ht="13.5" customHeight="1">
      <c r="A35" s="106" t="s">
        <v>80</v>
      </c>
      <c r="B35" s="24" t="s">
        <v>161</v>
      </c>
      <c r="C35" s="25"/>
      <c r="D35" s="25"/>
      <c r="E35" s="26"/>
      <c r="F35" s="1" t="s">
        <v>162</v>
      </c>
      <c r="G35" s="9" t="s">
        <v>61</v>
      </c>
      <c r="H35" s="20">
        <v>0.15</v>
      </c>
      <c r="I35" s="21"/>
      <c r="J35" s="93">
        <f>SUMIF(Funções!$D$8:$D$104,'Deflatores Sisp'!G35,Funções!$K$8:$K$104)</f>
        <v>0</v>
      </c>
      <c r="K35" s="94">
        <f>IF(H35="",COUNTIF(Funções!D$8:D$104,G35)*I35,H35*J35)</f>
        <v>0</v>
      </c>
      <c r="L35" s="93">
        <f>SUMIF(Funções!$D$8:$D$104,'Deflatores Sisp'!G35,Funções!$O$8:$O$104)</f>
        <v>0</v>
      </c>
      <c r="M35" s="6" t="s">
        <v>101</v>
      </c>
    </row>
    <row r="36" spans="1:13" ht="13.5" customHeight="1">
      <c r="A36" s="106" t="s">
        <v>80</v>
      </c>
      <c r="B36" s="24" t="s">
        <v>163</v>
      </c>
      <c r="C36" s="25"/>
      <c r="D36" s="25"/>
      <c r="E36" s="26"/>
      <c r="F36" s="1" t="s">
        <v>164</v>
      </c>
      <c r="G36" s="9" t="s">
        <v>165</v>
      </c>
      <c r="H36" s="20">
        <v>1</v>
      </c>
      <c r="I36" s="21"/>
      <c r="J36" s="93">
        <f>SUMIF(Funções!$D$8:$D$104,'Deflatores Sisp'!G36,Funções!$K$8:$K$104)</f>
        <v>0</v>
      </c>
      <c r="K36" s="94">
        <f>IF(H36="",COUNTIF(Funções!D$8:D$104,G36)*I36,H36*J36)</f>
        <v>0</v>
      </c>
      <c r="L36" s="93">
        <f>SUMIF(Funções!$D$8:$D$104,'Deflatores Sisp'!G36,Funções!$O$8:$O$104)</f>
        <v>0</v>
      </c>
      <c r="M36" s="6" t="s">
        <v>82</v>
      </c>
    </row>
    <row r="37" spans="1:13" ht="25.2" hidden="1">
      <c r="A37" s="86" t="s">
        <v>166</v>
      </c>
      <c r="B37" s="213" t="s">
        <v>167</v>
      </c>
      <c r="C37" s="213"/>
      <c r="D37" s="213"/>
      <c r="E37" s="213"/>
      <c r="F37" s="92" t="s">
        <v>168</v>
      </c>
      <c r="G37" s="87" t="s">
        <v>169</v>
      </c>
      <c r="H37" s="88">
        <v>0.8</v>
      </c>
      <c r="I37" s="89"/>
      <c r="J37" s="90">
        <f>SUMIF(Funções!$D$8:$D$104,'Deflatores Sisp'!G37,Funções!$K$8:$K$104)</f>
        <v>0</v>
      </c>
      <c r="K37" s="91">
        <f>IF(H37="",COUNTIF(Funções!D$8:D$104,G37)*I37,H37*J37)</f>
        <v>0</v>
      </c>
      <c r="L37" s="143"/>
      <c r="M37" s="6" t="s">
        <v>65</v>
      </c>
    </row>
    <row r="38" spans="1:13" ht="13.5" customHeight="1">
      <c r="A38" s="2"/>
      <c r="B38" s="198"/>
      <c r="C38" s="198"/>
      <c r="D38" s="198"/>
      <c r="E38" s="198"/>
      <c r="F38" s="1"/>
      <c r="G38" s="9" t="s">
        <v>169</v>
      </c>
      <c r="H38" s="20"/>
      <c r="I38" s="21"/>
      <c r="J38" s="22">
        <f>SUMIF(Funções!$D$8:$D$104,'Deflatores Sisp'!G38,Funções!$K$8:$K$104)</f>
        <v>0</v>
      </c>
      <c r="K38" s="23">
        <f>IF(H38="",COUNTIF(Funções!D$8:D$104,G38)*I38,H38*J38)</f>
        <v>0</v>
      </c>
      <c r="L38" s="144"/>
      <c r="M38" s="6" t="s">
        <v>170</v>
      </c>
    </row>
    <row r="39" spans="1:13" ht="13.8">
      <c r="A39" s="13"/>
      <c r="B39" s="14"/>
      <c r="C39" s="14"/>
      <c r="D39" s="14"/>
      <c r="E39" s="14"/>
      <c r="F39" s="14"/>
      <c r="G39" s="15"/>
      <c r="H39" s="16"/>
      <c r="I39" s="16"/>
      <c r="J39" s="17"/>
      <c r="K39" s="18"/>
      <c r="L39" s="12"/>
      <c r="M39" s="6" t="s">
        <v>60</v>
      </c>
    </row>
    <row r="40" spans="1:13" ht="15" customHeight="1">
      <c r="A40" s="214" t="s">
        <v>69</v>
      </c>
      <c r="B40" s="214"/>
      <c r="C40" s="214"/>
      <c r="D40" s="214"/>
      <c r="E40" s="214"/>
      <c r="F40" s="214"/>
      <c r="G40" s="211" t="s">
        <v>71</v>
      </c>
      <c r="H40" s="211" t="s">
        <v>72</v>
      </c>
      <c r="I40" s="211"/>
      <c r="J40" s="211" t="s">
        <v>171</v>
      </c>
      <c r="K40" s="197" t="s">
        <v>73</v>
      </c>
      <c r="L40" s="142"/>
      <c r="M40" s="6" t="s">
        <v>64</v>
      </c>
    </row>
    <row r="41" spans="1:13" ht="15" customHeight="1">
      <c r="A41" s="104" t="s">
        <v>76</v>
      </c>
      <c r="B41" s="211" t="s">
        <v>25</v>
      </c>
      <c r="C41" s="211"/>
      <c r="D41" s="211"/>
      <c r="E41" s="211"/>
      <c r="F41" s="105" t="s">
        <v>77</v>
      </c>
      <c r="G41" s="211"/>
      <c r="H41" s="211"/>
      <c r="I41" s="211"/>
      <c r="J41" s="211"/>
      <c r="K41" s="197"/>
      <c r="L41" s="142"/>
      <c r="M41" s="6" t="s">
        <v>57</v>
      </c>
    </row>
    <row r="42" spans="1:13" ht="13.5" customHeight="1" thickBot="1">
      <c r="A42" s="107" t="s">
        <v>80</v>
      </c>
      <c r="B42" s="212" t="s">
        <v>172</v>
      </c>
      <c r="C42" s="198"/>
      <c r="D42" s="198"/>
      <c r="E42" s="198"/>
      <c r="F42" s="1" t="s">
        <v>173</v>
      </c>
      <c r="G42" s="9" t="s">
        <v>174</v>
      </c>
      <c r="H42" s="199">
        <v>0.6</v>
      </c>
      <c r="I42" s="199"/>
      <c r="J42" s="95">
        <f>COUNTIF(Funções!C$8:C$104,G42)</f>
        <v>0</v>
      </c>
      <c r="K42" s="96">
        <f>SUMIF(Funções!C$8:C$104,$G42,Funções!N$8:N$104)</f>
        <v>0</v>
      </c>
      <c r="L42" s="145"/>
      <c r="M42" s="6" t="str">
        <f t="shared" ref="M42:M70" si="0">""&amp;G42</f>
        <v>PAG</v>
      </c>
    </row>
    <row r="43" spans="1:13" ht="38.4" customHeight="1" thickBot="1">
      <c r="A43" s="108" t="s">
        <v>175</v>
      </c>
      <c r="B43" s="209" t="s">
        <v>176</v>
      </c>
      <c r="C43" s="209"/>
      <c r="D43" s="209"/>
      <c r="E43" s="209"/>
      <c r="F43" s="1" t="s">
        <v>177</v>
      </c>
      <c r="G43" s="80" t="s">
        <v>68</v>
      </c>
      <c r="H43" s="210">
        <v>0.6</v>
      </c>
      <c r="I43" s="210"/>
      <c r="J43" s="97">
        <f>COUNTIF(Funções!C$8:C$104,G43)</f>
        <v>0</v>
      </c>
      <c r="K43" s="98">
        <f>SUMIF(Funções!C$8:C$104,$G43,Funções!N$8:N$104)</f>
        <v>0</v>
      </c>
      <c r="L43" s="145"/>
      <c r="M43" s="6" t="str">
        <f>""&amp;G43</f>
        <v>COSNF</v>
      </c>
    </row>
    <row r="44" spans="1:13" ht="41.1" customHeight="1" thickBot="1">
      <c r="A44" s="108" t="s">
        <v>175</v>
      </c>
      <c r="B44" s="209" t="s">
        <v>178</v>
      </c>
      <c r="C44" s="209"/>
      <c r="D44" s="209"/>
      <c r="E44" s="209"/>
      <c r="F44" s="1" t="s">
        <v>177</v>
      </c>
      <c r="G44" s="80" t="s">
        <v>179</v>
      </c>
      <c r="H44" s="210">
        <v>0.02</v>
      </c>
      <c r="I44" s="210"/>
      <c r="J44" s="97">
        <f>COUNTIF(Funções!C$8:C$104,G44)</f>
        <v>0</v>
      </c>
      <c r="K44" s="98">
        <f>SUMIF(Funções!C$8:C$104,$G44,Funções!N$8:N$104)</f>
        <v>0</v>
      </c>
      <c r="L44" s="145"/>
      <c r="M44" s="6" t="str">
        <f t="shared" si="0"/>
        <v>COSNFE</v>
      </c>
    </row>
    <row r="45" spans="1:13" ht="13.5" customHeight="1">
      <c r="A45" s="108" t="s">
        <v>175</v>
      </c>
      <c r="B45" s="207" t="s">
        <v>180</v>
      </c>
      <c r="C45" s="207"/>
      <c r="D45" s="207"/>
      <c r="E45" s="207"/>
      <c r="F45" s="82" t="s">
        <v>177</v>
      </c>
      <c r="G45" s="83" t="s">
        <v>67</v>
      </c>
      <c r="H45" s="208">
        <v>1</v>
      </c>
      <c r="I45" s="208"/>
      <c r="J45" s="99">
        <f>COUNTIF(Funções!C$8:C$104,G45)</f>
        <v>0</v>
      </c>
      <c r="K45" s="100">
        <f>SUMIF(Funções!C$8:C$104,$G45,Funções!N$8:N$104)</f>
        <v>0</v>
      </c>
      <c r="L45" s="145"/>
      <c r="M45" s="6" t="str">
        <f t="shared" ref="M45:M50" si="1">""&amp;G45</f>
        <v>DCDI</v>
      </c>
    </row>
    <row r="46" spans="1:13" ht="13.5" customHeight="1">
      <c r="A46" s="109" t="s">
        <v>175</v>
      </c>
      <c r="B46" s="198" t="s">
        <v>181</v>
      </c>
      <c r="C46" s="198"/>
      <c r="D46" s="198"/>
      <c r="E46" s="198"/>
      <c r="F46" s="1" t="s">
        <v>177</v>
      </c>
      <c r="G46" s="9" t="s">
        <v>182</v>
      </c>
      <c r="H46" s="199">
        <v>0.6</v>
      </c>
      <c r="I46" s="199"/>
      <c r="J46" s="95">
        <f>COUNTIF(Funções!C$8:C$104,G46)</f>
        <v>0</v>
      </c>
      <c r="K46" s="101">
        <f>SUMIF(Funções!C$8:C$104,$G46,Funções!N$8:N$104)</f>
        <v>0</v>
      </c>
      <c r="L46" s="145"/>
      <c r="M46" s="6" t="str">
        <f t="shared" si="1"/>
        <v>DCDA</v>
      </c>
    </row>
    <row r="47" spans="1:13" ht="13.5" customHeight="1">
      <c r="A47" s="109" t="s">
        <v>175</v>
      </c>
      <c r="B47" s="198" t="s">
        <v>183</v>
      </c>
      <c r="C47" s="198"/>
      <c r="D47" s="198"/>
      <c r="E47" s="198"/>
      <c r="F47" s="1" t="s">
        <v>177</v>
      </c>
      <c r="G47" s="9" t="s">
        <v>184</v>
      </c>
      <c r="H47" s="199">
        <v>0.4</v>
      </c>
      <c r="I47" s="199"/>
      <c r="J47" s="95">
        <f>COUNTIF(Funções!C$8:C$104,G47)</f>
        <v>0</v>
      </c>
      <c r="K47" s="101">
        <f>SUMIF(Funções!C$8:C$104,$G47,Funções!N$8:N$104)</f>
        <v>0</v>
      </c>
      <c r="L47" s="145"/>
      <c r="M47" s="6" t="str">
        <f t="shared" si="1"/>
        <v>DCDE</v>
      </c>
    </row>
    <row r="48" spans="1:13" ht="13.5" customHeight="1">
      <c r="A48" s="109" t="s">
        <v>175</v>
      </c>
      <c r="B48" s="198" t="s">
        <v>185</v>
      </c>
      <c r="C48" s="198"/>
      <c r="D48" s="198"/>
      <c r="E48" s="198"/>
      <c r="F48" s="1" t="s">
        <v>177</v>
      </c>
      <c r="G48" s="9" t="s">
        <v>186</v>
      </c>
      <c r="H48" s="199">
        <v>1.5</v>
      </c>
      <c r="I48" s="199"/>
      <c r="J48" s="95">
        <f>COUNTIF(Funções!C$8:C$104,G48)</f>
        <v>0</v>
      </c>
      <c r="K48" s="101">
        <f>SUMIF(Funções!C$8:C$104,$G48,Funções!N$8:N$104)</f>
        <v>0</v>
      </c>
      <c r="L48" s="145"/>
      <c r="M48" s="6" t="str">
        <f t="shared" si="1"/>
        <v>DCFI</v>
      </c>
    </row>
    <row r="49" spans="1:13" ht="13.5" customHeight="1">
      <c r="A49" s="109" t="s">
        <v>175</v>
      </c>
      <c r="B49" s="198" t="s">
        <v>187</v>
      </c>
      <c r="C49" s="198"/>
      <c r="D49" s="198"/>
      <c r="E49" s="198"/>
      <c r="F49" s="1" t="s">
        <v>177</v>
      </c>
      <c r="G49" s="9" t="s">
        <v>188</v>
      </c>
      <c r="H49" s="199">
        <v>1.05</v>
      </c>
      <c r="I49" s="199"/>
      <c r="J49" s="95">
        <f>COUNTIF(Funções!C$8:C$104,G49)</f>
        <v>0</v>
      </c>
      <c r="K49" s="101">
        <f>SUMIF(Funções!C$8:C$104,$G49,Funções!N$8:N$104)</f>
        <v>0</v>
      </c>
      <c r="L49" s="145"/>
      <c r="M49" s="6" t="str">
        <f t="shared" si="1"/>
        <v>DCFA</v>
      </c>
    </row>
    <row r="50" spans="1:13" ht="13.5" customHeight="1" thickBot="1">
      <c r="A50" s="110" t="s">
        <v>175</v>
      </c>
      <c r="B50" s="205" t="s">
        <v>189</v>
      </c>
      <c r="C50" s="205"/>
      <c r="D50" s="205"/>
      <c r="E50" s="205"/>
      <c r="F50" s="84" t="s">
        <v>177</v>
      </c>
      <c r="G50" s="85" t="s">
        <v>190</v>
      </c>
      <c r="H50" s="206">
        <v>0.6</v>
      </c>
      <c r="I50" s="206"/>
      <c r="J50" s="102">
        <f>COUNTIF(Funções!C$8:C$104,G50)</f>
        <v>0</v>
      </c>
      <c r="K50" s="103">
        <f>SUMIF(Funções!C$8:C$104,$G50,Funções!N$8:N$104)</f>
        <v>0</v>
      </c>
      <c r="L50" s="145"/>
      <c r="M50" s="6" t="str">
        <f t="shared" si="1"/>
        <v>DCFE</v>
      </c>
    </row>
    <row r="51" spans="1:13" ht="13.5" customHeight="1">
      <c r="A51" s="109" t="s">
        <v>175</v>
      </c>
      <c r="B51" s="198" t="s">
        <v>191</v>
      </c>
      <c r="C51" s="198"/>
      <c r="D51" s="198"/>
      <c r="E51" s="198"/>
      <c r="F51" s="1" t="s">
        <v>177</v>
      </c>
      <c r="G51" s="9" t="s">
        <v>192</v>
      </c>
      <c r="H51" s="199">
        <v>4.9000000000000004</v>
      </c>
      <c r="I51" s="199"/>
      <c r="J51" s="95">
        <f>COUNTIF(Funções!C$8:C$104,G51)</f>
        <v>0</v>
      </c>
      <c r="K51" s="101">
        <f>SUMIF(Funções!C$8:C$104,$G51,Funções!N$8:N$104)</f>
        <v>0</v>
      </c>
      <c r="L51" s="145"/>
      <c r="M51" s="6" t="str">
        <f t="shared" si="0"/>
        <v>DATDI</v>
      </c>
    </row>
    <row r="52" spans="1:13" ht="13.8">
      <c r="A52" s="109" t="s">
        <v>175</v>
      </c>
      <c r="B52" s="198" t="s">
        <v>193</v>
      </c>
      <c r="C52" s="198"/>
      <c r="D52" s="198"/>
      <c r="E52" s="198"/>
      <c r="F52" s="1" t="s">
        <v>177</v>
      </c>
      <c r="G52" s="9" t="s">
        <v>194</v>
      </c>
      <c r="H52" s="199">
        <v>2.4500000000000002</v>
      </c>
      <c r="I52" s="199"/>
      <c r="J52" s="95">
        <f>COUNTIF(Funções!C$8:C$104,G52)</f>
        <v>0</v>
      </c>
      <c r="K52" s="101">
        <f>SUMIF(Funções!C$8:C$104,$G52,Funções!N$8:N$104)</f>
        <v>0</v>
      </c>
      <c r="L52" s="145"/>
      <c r="M52" s="6" t="str">
        <f t="shared" si="0"/>
        <v>DATDA</v>
      </c>
    </row>
    <row r="53" spans="1:13" ht="13.8">
      <c r="A53" s="109" t="s">
        <v>175</v>
      </c>
      <c r="B53" s="198" t="s">
        <v>195</v>
      </c>
      <c r="C53" s="198"/>
      <c r="D53" s="198"/>
      <c r="E53" s="198"/>
      <c r="F53" s="1" t="s">
        <v>177</v>
      </c>
      <c r="G53" s="9" t="s">
        <v>196</v>
      </c>
      <c r="H53" s="199">
        <v>1.23</v>
      </c>
      <c r="I53" s="199"/>
      <c r="J53" s="95">
        <f>COUNTIF(Funções!C$8:C$104,G53)</f>
        <v>0</v>
      </c>
      <c r="K53" s="101">
        <f>SUMIF(Funções!C$8:C$104,$G53,Funções!N$8:N$104)</f>
        <v>0</v>
      </c>
      <c r="L53" s="145"/>
      <c r="M53" s="6" t="str">
        <f t="shared" si="0"/>
        <v>DATDE</v>
      </c>
    </row>
    <row r="54" spans="1:13" ht="13.8">
      <c r="A54" s="109" t="s">
        <v>175</v>
      </c>
      <c r="B54" s="198" t="s">
        <v>197</v>
      </c>
      <c r="C54" s="198"/>
      <c r="D54" s="198"/>
      <c r="E54" s="198"/>
      <c r="F54" s="1" t="s">
        <v>177</v>
      </c>
      <c r="G54" s="9" t="s">
        <v>198</v>
      </c>
      <c r="H54" s="199">
        <v>2.8</v>
      </c>
      <c r="I54" s="199"/>
      <c r="J54" s="95">
        <f>COUNTIF(Funções!C$8:C$104,G54)</f>
        <v>0</v>
      </c>
      <c r="K54" s="101">
        <f>SUMIF(Funções!C$8:C$104,$G54,Funções!N$8:N$104)</f>
        <v>0</v>
      </c>
      <c r="L54" s="145"/>
      <c r="M54" s="6" t="str">
        <f t="shared" si="0"/>
        <v>DATEI</v>
      </c>
    </row>
    <row r="55" spans="1:13" ht="13.8">
      <c r="A55" s="109" t="s">
        <v>175</v>
      </c>
      <c r="B55" s="198" t="s">
        <v>199</v>
      </c>
      <c r="C55" s="198"/>
      <c r="D55" s="198"/>
      <c r="E55" s="198"/>
      <c r="F55" s="1" t="s">
        <v>177</v>
      </c>
      <c r="G55" s="9" t="s">
        <v>200</v>
      </c>
      <c r="H55" s="199">
        <v>1.4</v>
      </c>
      <c r="I55" s="199"/>
      <c r="J55" s="95">
        <f>COUNTIF(Funções!C$8:C$104,G55)</f>
        <v>0</v>
      </c>
      <c r="K55" s="101">
        <f>SUMIF(Funções!C$8:C$104,$G55,Funções!N$8:N$104)</f>
        <v>0</v>
      </c>
      <c r="L55" s="145"/>
      <c r="M55" s="6" t="str">
        <f t="shared" si="0"/>
        <v>DATEA</v>
      </c>
    </row>
    <row r="56" spans="1:13" ht="14.4" thickBot="1">
      <c r="A56" s="109" t="s">
        <v>175</v>
      </c>
      <c r="B56" s="205" t="s">
        <v>201</v>
      </c>
      <c r="C56" s="205"/>
      <c r="D56" s="205"/>
      <c r="E56" s="205"/>
      <c r="F56" s="84" t="s">
        <v>177</v>
      </c>
      <c r="G56" s="85" t="s">
        <v>202</v>
      </c>
      <c r="H56" s="206">
        <v>0.7</v>
      </c>
      <c r="I56" s="206"/>
      <c r="J56" s="102">
        <f>COUNTIF(Funções!C$8:C$104,G56)</f>
        <v>0</v>
      </c>
      <c r="K56" s="103">
        <f>SUMIF(Funções!C$8:C$104,$G56,Funções!N$8:N$104)</f>
        <v>0</v>
      </c>
      <c r="L56" s="145"/>
      <c r="M56" s="6" t="str">
        <f t="shared" si="0"/>
        <v>DATEE</v>
      </c>
    </row>
    <row r="57" spans="1:13" ht="13.8">
      <c r="A57" s="111" t="s">
        <v>175</v>
      </c>
      <c r="B57" s="202" t="s">
        <v>203</v>
      </c>
      <c r="C57" s="203"/>
      <c r="D57" s="203"/>
      <c r="E57" s="203"/>
      <c r="F57" s="1" t="s">
        <v>177</v>
      </c>
      <c r="G57" s="81" t="s">
        <v>204</v>
      </c>
      <c r="H57" s="204">
        <v>0.04</v>
      </c>
      <c r="I57" s="204"/>
      <c r="J57" s="113">
        <f>COUNTIF(Funções!C$8:C$104,G57)</f>
        <v>0</v>
      </c>
      <c r="K57" s="114">
        <f>SUMIF(Funções!C$8:C$104,$G57,Funções!N$8:N$104)</f>
        <v>0</v>
      </c>
      <c r="L57" s="145"/>
      <c r="M57" s="6" t="str">
        <f t="shared" si="0"/>
        <v>HARDC</v>
      </c>
    </row>
    <row r="58" spans="1:13" ht="13.8">
      <c r="A58" s="111" t="s">
        <v>175</v>
      </c>
      <c r="B58" s="202" t="s">
        <v>205</v>
      </c>
      <c r="C58" s="203"/>
      <c r="D58" s="203"/>
      <c r="E58" s="203"/>
      <c r="F58" s="1" t="s">
        <v>177</v>
      </c>
      <c r="G58" s="81" t="s">
        <v>62</v>
      </c>
      <c r="H58" s="204">
        <v>0.1</v>
      </c>
      <c r="I58" s="204"/>
      <c r="J58" s="113">
        <f>COUNTIF(Funções!C$8:C$104,G58)</f>
        <v>0</v>
      </c>
      <c r="K58" s="114">
        <f>SUMIF(Funções!C$8:C$104,$G58,Funções!N$8:N$104)</f>
        <v>0</v>
      </c>
      <c r="L58" s="145"/>
      <c r="M58" s="6" t="str">
        <f t="shared" ref="M58" si="2">""&amp;G58</f>
        <v>PA</v>
      </c>
    </row>
    <row r="59" spans="1:13" ht="13.8">
      <c r="A59" s="107"/>
      <c r="B59" s="198"/>
      <c r="C59" s="198"/>
      <c r="D59" s="198"/>
      <c r="E59" s="198"/>
      <c r="F59" s="1"/>
      <c r="G59" s="9" t="s">
        <v>169</v>
      </c>
      <c r="H59" s="199"/>
      <c r="I59" s="199"/>
      <c r="J59" s="95">
        <f>COUNTIF(Funções!C$8:C$104,G59)</f>
        <v>0</v>
      </c>
      <c r="K59" s="96">
        <f>SUMIF(Funções!C$8:C$104,$G59,Funções!N$8:N$104)</f>
        <v>0</v>
      </c>
      <c r="L59" s="145"/>
      <c r="M59" s="6" t="str">
        <f t="shared" si="0"/>
        <v xml:space="preserve">           .</v>
      </c>
    </row>
    <row r="60" spans="1:13" ht="13.8">
      <c r="A60" s="107"/>
      <c r="B60" s="198"/>
      <c r="C60" s="198"/>
      <c r="D60" s="198"/>
      <c r="E60" s="198"/>
      <c r="F60" s="1"/>
      <c r="G60" s="9" t="s">
        <v>169</v>
      </c>
      <c r="H60" s="199"/>
      <c r="I60" s="199"/>
      <c r="J60" s="95">
        <f>COUNTIF(Funções!C$8:C$104,G60)</f>
        <v>0</v>
      </c>
      <c r="K60" s="96">
        <f>SUMIF(Funções!C$8:C$104,$G60,Funções!N$8:N$104)</f>
        <v>0</v>
      </c>
      <c r="L60" s="145"/>
      <c r="M60" s="6" t="str">
        <f t="shared" si="0"/>
        <v xml:space="preserve">           .</v>
      </c>
    </row>
    <row r="61" spans="1:13" ht="13.8">
      <c r="A61" s="107"/>
      <c r="B61" s="198"/>
      <c r="C61" s="198"/>
      <c r="D61" s="198"/>
      <c r="E61" s="198"/>
      <c r="F61" s="1"/>
      <c r="G61" s="9" t="s">
        <v>169</v>
      </c>
      <c r="H61" s="199"/>
      <c r="I61" s="199"/>
      <c r="J61" s="95">
        <f>COUNTIF(Funções!C$8:C$104,G61)</f>
        <v>0</v>
      </c>
      <c r="K61" s="96">
        <f>SUMIF(Funções!C$8:C$104,$G61,Funções!N$8:N$104)</f>
        <v>0</v>
      </c>
      <c r="L61" s="145"/>
      <c r="M61" s="6" t="str">
        <f t="shared" si="0"/>
        <v xml:space="preserve">           .</v>
      </c>
    </row>
    <row r="62" spans="1:13" ht="13.8">
      <c r="A62" s="107"/>
      <c r="B62" s="198"/>
      <c r="C62" s="198"/>
      <c r="D62" s="198"/>
      <c r="E62" s="198"/>
      <c r="F62" s="1"/>
      <c r="G62" s="9" t="s">
        <v>169</v>
      </c>
      <c r="H62" s="199"/>
      <c r="I62" s="199"/>
      <c r="J62" s="95">
        <f>COUNTIF(Funções!C$8:C$104,G62)</f>
        <v>0</v>
      </c>
      <c r="K62" s="96">
        <f>SUMIF(Funções!C$8:C$104,$G62,Funções!N$8:N$104)</f>
        <v>0</v>
      </c>
      <c r="L62" s="145"/>
      <c r="M62" s="6" t="str">
        <f t="shared" si="0"/>
        <v xml:space="preserve">           .</v>
      </c>
    </row>
    <row r="63" spans="1:13" ht="13.8">
      <c r="A63" s="107"/>
      <c r="B63" s="198"/>
      <c r="C63" s="198"/>
      <c r="D63" s="198"/>
      <c r="E63" s="198"/>
      <c r="F63" s="1"/>
      <c r="G63" s="9" t="s">
        <v>169</v>
      </c>
      <c r="H63" s="199"/>
      <c r="I63" s="199"/>
      <c r="J63" s="95">
        <f>COUNTIF(Funções!C$8:C$104,G63)</f>
        <v>0</v>
      </c>
      <c r="K63" s="96">
        <f>SUMIF(Funções!C$8:C$104,$G63,Funções!N$8:N$104)</f>
        <v>0</v>
      </c>
      <c r="L63" s="145"/>
      <c r="M63" s="6" t="str">
        <f t="shared" si="0"/>
        <v xml:space="preserve">           .</v>
      </c>
    </row>
    <row r="64" spans="1:13" ht="13.8">
      <c r="A64" s="107"/>
      <c r="B64" s="198"/>
      <c r="C64" s="198"/>
      <c r="D64" s="198"/>
      <c r="E64" s="198"/>
      <c r="F64" s="1"/>
      <c r="G64" s="9" t="s">
        <v>169</v>
      </c>
      <c r="H64" s="199"/>
      <c r="I64" s="199"/>
      <c r="J64" s="95">
        <f>COUNTIF(Funções!C$8:C$104,G64)</f>
        <v>0</v>
      </c>
      <c r="K64" s="96">
        <f>SUMIF(Funções!C$8:C$104,$G64,Funções!N$8:N$104)</f>
        <v>0</v>
      </c>
      <c r="L64" s="145"/>
      <c r="M64" s="6" t="str">
        <f t="shared" si="0"/>
        <v xml:space="preserve">           .</v>
      </c>
    </row>
    <row r="65" spans="1:13" ht="13.8">
      <c r="A65" s="107"/>
      <c r="B65" s="198"/>
      <c r="C65" s="198"/>
      <c r="D65" s="198"/>
      <c r="E65" s="198"/>
      <c r="F65" s="1"/>
      <c r="G65" s="9" t="s">
        <v>169</v>
      </c>
      <c r="H65" s="199"/>
      <c r="I65" s="199"/>
      <c r="J65" s="95">
        <f>COUNTIF(Funções!C$8:C$104,G65)</f>
        <v>0</v>
      </c>
      <c r="K65" s="96">
        <f>SUMIF(Funções!C$8:C$104,$G65,Funções!N$8:N$104)</f>
        <v>0</v>
      </c>
      <c r="L65" s="145"/>
      <c r="M65" s="6" t="str">
        <f t="shared" si="0"/>
        <v xml:space="preserve">           .</v>
      </c>
    </row>
    <row r="66" spans="1:13" ht="13.8">
      <c r="A66" s="107"/>
      <c r="B66" s="198"/>
      <c r="C66" s="198"/>
      <c r="D66" s="198"/>
      <c r="E66" s="198"/>
      <c r="F66" s="1"/>
      <c r="G66" s="9" t="s">
        <v>169</v>
      </c>
      <c r="H66" s="199"/>
      <c r="I66" s="199"/>
      <c r="J66" s="95">
        <f>COUNTIF(Funções!C$8:C$104,G66)</f>
        <v>0</v>
      </c>
      <c r="K66" s="96">
        <f>SUMIF(Funções!C$8:C$104,$G66,Funções!N$8:N$104)</f>
        <v>0</v>
      </c>
      <c r="L66" s="145"/>
      <c r="M66" s="6" t="str">
        <f t="shared" si="0"/>
        <v xml:space="preserve">           .</v>
      </c>
    </row>
    <row r="67" spans="1:13" ht="13.8">
      <c r="A67" s="107"/>
      <c r="B67" s="198"/>
      <c r="C67" s="198"/>
      <c r="D67" s="198"/>
      <c r="E67" s="198"/>
      <c r="F67" s="1"/>
      <c r="G67" s="9" t="s">
        <v>169</v>
      </c>
      <c r="H67" s="199"/>
      <c r="I67" s="199"/>
      <c r="J67" s="95">
        <f>COUNTIF(Funções!C$8:C$104,G67)</f>
        <v>0</v>
      </c>
      <c r="K67" s="96">
        <f>SUMIF(Funções!C$8:C$104,$G67,Funções!N$8:N$104)</f>
        <v>0</v>
      </c>
      <c r="L67" s="145"/>
      <c r="M67" s="6" t="str">
        <f t="shared" si="0"/>
        <v xml:space="preserve">           .</v>
      </c>
    </row>
    <row r="68" spans="1:13" ht="13.8">
      <c r="A68" s="107"/>
      <c r="B68" s="198"/>
      <c r="C68" s="198"/>
      <c r="D68" s="198"/>
      <c r="E68" s="198"/>
      <c r="F68" s="1"/>
      <c r="G68" s="9" t="s">
        <v>169</v>
      </c>
      <c r="H68" s="199"/>
      <c r="I68" s="199"/>
      <c r="J68" s="95">
        <f>COUNTIF(Funções!C$8:C$104,G68)</f>
        <v>0</v>
      </c>
      <c r="K68" s="96">
        <f>SUMIF(Funções!C$8:C$104,$G68,Funções!N$8:N$104)</f>
        <v>0</v>
      </c>
      <c r="L68" s="145"/>
      <c r="M68" s="6" t="str">
        <f t="shared" si="0"/>
        <v xml:space="preserve">           .</v>
      </c>
    </row>
    <row r="69" spans="1:13" ht="13.8">
      <c r="A69" s="107"/>
      <c r="B69" s="198"/>
      <c r="C69" s="198"/>
      <c r="D69" s="198"/>
      <c r="E69" s="198"/>
      <c r="F69" s="1"/>
      <c r="G69" s="9" t="s">
        <v>169</v>
      </c>
      <c r="H69" s="199"/>
      <c r="I69" s="199"/>
      <c r="J69" s="95">
        <f>COUNTIF(Funções!C$8:C$104,G69)</f>
        <v>0</v>
      </c>
      <c r="K69" s="96">
        <f>SUMIF(Funções!C$8:C$104,$G69,Funções!N$8:N$104)</f>
        <v>0</v>
      </c>
      <c r="L69" s="145"/>
      <c r="M69" s="6" t="str">
        <f t="shared" si="0"/>
        <v xml:space="preserve">           .</v>
      </c>
    </row>
    <row r="70" spans="1:13" ht="13.8">
      <c r="A70" s="112"/>
      <c r="B70" s="200"/>
      <c r="C70" s="200"/>
      <c r="D70" s="200"/>
      <c r="E70" s="200"/>
      <c r="F70" s="10"/>
      <c r="G70" s="11" t="s">
        <v>169</v>
      </c>
      <c r="H70" s="201"/>
      <c r="I70" s="201"/>
      <c r="J70" s="115">
        <f>COUNTIF(Funções!C$8:C$104,G70)</f>
        <v>0</v>
      </c>
      <c r="K70" s="116">
        <f>SUMIF(Funções!C$8:C$104,$G70,Funções!N$8:N$104)</f>
        <v>0</v>
      </c>
      <c r="L70" s="145"/>
      <c r="M70" s="6" t="str">
        <f t="shared" si="0"/>
        <v xml:space="preserve">           .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03">
    <mergeCell ref="B21:E21"/>
    <mergeCell ref="B22:E22"/>
    <mergeCell ref="B24:E24"/>
    <mergeCell ref="B23:E23"/>
    <mergeCell ref="B25:E25"/>
    <mergeCell ref="B12:E12"/>
    <mergeCell ref="B13:E13"/>
    <mergeCell ref="B15:E15"/>
    <mergeCell ref="B16:E16"/>
    <mergeCell ref="B14:E14"/>
    <mergeCell ref="B17:E17"/>
    <mergeCell ref="B18:E18"/>
    <mergeCell ref="B19:E19"/>
    <mergeCell ref="B20:E20"/>
    <mergeCell ref="A1:K1"/>
    <mergeCell ref="A2:F2"/>
    <mergeCell ref="G2:G3"/>
    <mergeCell ref="H2:I2"/>
    <mergeCell ref="J2:J3"/>
    <mergeCell ref="K2:K3"/>
    <mergeCell ref="B3:E3"/>
    <mergeCell ref="B10:E10"/>
    <mergeCell ref="B11:E11"/>
    <mergeCell ref="B4:E4"/>
    <mergeCell ref="B5:E5"/>
    <mergeCell ref="B6:E6"/>
    <mergeCell ref="B7:E7"/>
    <mergeCell ref="B8:E8"/>
    <mergeCell ref="B9:E9"/>
    <mergeCell ref="B26:E26"/>
    <mergeCell ref="B27:E27"/>
    <mergeCell ref="B28:E28"/>
    <mergeCell ref="B29:E29"/>
    <mergeCell ref="B30:E30"/>
    <mergeCell ref="K40:K41"/>
    <mergeCell ref="B41:E41"/>
    <mergeCell ref="B42:E42"/>
    <mergeCell ref="H42:I42"/>
    <mergeCell ref="B31:E31"/>
    <mergeCell ref="B37:E37"/>
    <mergeCell ref="B38:E38"/>
    <mergeCell ref="A40:F40"/>
    <mergeCell ref="G40:G41"/>
    <mergeCell ref="H40:I41"/>
    <mergeCell ref="J40:J41"/>
    <mergeCell ref="B45:E45"/>
    <mergeCell ref="H45:I45"/>
    <mergeCell ref="B44:E44"/>
    <mergeCell ref="H44:I44"/>
    <mergeCell ref="B43:E43"/>
    <mergeCell ref="H43:I43"/>
    <mergeCell ref="B46:E46"/>
    <mergeCell ref="H46:I46"/>
    <mergeCell ref="B51:E51"/>
    <mergeCell ref="H51:I51"/>
    <mergeCell ref="B49:E49"/>
    <mergeCell ref="H49:I49"/>
    <mergeCell ref="B48:E48"/>
    <mergeCell ref="H48:I48"/>
    <mergeCell ref="B52:E52"/>
    <mergeCell ref="H52:I52"/>
    <mergeCell ref="B50:E50"/>
    <mergeCell ref="H50:I50"/>
    <mergeCell ref="B47:E47"/>
    <mergeCell ref="H47:I47"/>
    <mergeCell ref="B53:E53"/>
    <mergeCell ref="H53:I53"/>
    <mergeCell ref="B54:E54"/>
    <mergeCell ref="H54:I54"/>
    <mergeCell ref="B55:E55"/>
    <mergeCell ref="H55:I55"/>
    <mergeCell ref="B56:E56"/>
    <mergeCell ref="H56:I56"/>
    <mergeCell ref="B57:E57"/>
    <mergeCell ref="H57:I57"/>
    <mergeCell ref="B59:E59"/>
    <mergeCell ref="H59:I59"/>
    <mergeCell ref="B60:E60"/>
    <mergeCell ref="H60:I60"/>
    <mergeCell ref="L2:L3"/>
    <mergeCell ref="M2:M3"/>
    <mergeCell ref="B69:E69"/>
    <mergeCell ref="H69:I69"/>
    <mergeCell ref="B70:E70"/>
    <mergeCell ref="H70:I70"/>
    <mergeCell ref="B66:E66"/>
    <mergeCell ref="H66:I66"/>
    <mergeCell ref="B67:E67"/>
    <mergeCell ref="H67:I67"/>
    <mergeCell ref="B58:E58"/>
    <mergeCell ref="H58:I58"/>
    <mergeCell ref="B61:E61"/>
    <mergeCell ref="H61:I61"/>
    <mergeCell ref="B62:E62"/>
    <mergeCell ref="H62:I62"/>
    <mergeCell ref="B68:E68"/>
    <mergeCell ref="H68:I68"/>
    <mergeCell ref="B63:E63"/>
    <mergeCell ref="H63:I63"/>
    <mergeCell ref="B64:E64"/>
    <mergeCell ref="H64:I64"/>
    <mergeCell ref="B65:E65"/>
    <mergeCell ref="H65:I65"/>
  </mergeCells>
  <pageMargins left="0.78749999999999998" right="0.78749999999999998" top="1.023611111111111" bottom="1.023611111111111" header="0.51180555555555551" footer="0.78749999999999998"/>
  <pageSetup paperSize="9" scale="48" firstPageNumber="0" orientation="portrait" horizontalDpi="300" verticalDpi="300" r:id="rId1"/>
  <headerFooter alignWithMargins="0">
    <oddFooter>&amp;CPágina &amp;P de &amp;N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64DFD015465304E9FF82913EE238D32" ma:contentTypeVersion="18" ma:contentTypeDescription="Crie um novo documento." ma:contentTypeScope="" ma:versionID="92ad995c1755ac50279a6b54aaf07e11">
  <xsd:schema xmlns:xsd="http://www.w3.org/2001/XMLSchema" xmlns:xs="http://www.w3.org/2001/XMLSchema" xmlns:p="http://schemas.microsoft.com/office/2006/metadata/properties" xmlns:ns2="edc3c472-c2cb-40f4-8ab8-6e4f49d863f3" xmlns:ns3="18e4fe92-d5cf-4478-92fe-5b2833ba3a5d" targetNamespace="http://schemas.microsoft.com/office/2006/metadata/properties" ma:root="true" ma:fieldsID="39a18fd82f3ba8963d12fddb6c7b1070" ns2:_="" ns3:_="">
    <xsd:import namespace="edc3c472-c2cb-40f4-8ab8-6e4f49d863f3"/>
    <xsd:import namespace="18e4fe92-d5cf-4478-92fe-5b2833ba3a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3c472-c2cb-40f4-8ab8-6e4f49d863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dab9438-f903-450b-a158-c86bb4a35d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e4fe92-d5cf-4478-92fe-5b2833ba3a5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f2725e3-7ab9-4b32-9bdd-2c6454e7cfb4}" ma:internalName="TaxCatchAll" ma:showField="CatchAllData" ma:web="18e4fe92-d5cf-4478-92fe-5b2833ba3a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c3c472-c2cb-40f4-8ab8-6e4f49d863f3">
      <Terms xmlns="http://schemas.microsoft.com/office/infopath/2007/PartnerControls"/>
    </lcf76f155ced4ddcb4097134ff3c332f>
    <TaxCatchAll xmlns="18e4fe92-d5cf-4478-92fe-5b2833ba3a5d" xsi:nil="true"/>
  </documentManagement>
</p:properties>
</file>

<file path=customXml/itemProps1.xml><?xml version="1.0" encoding="utf-8"?>
<ds:datastoreItem xmlns:ds="http://schemas.openxmlformats.org/officeDocument/2006/customXml" ds:itemID="{EBA8EC14-EB22-4C2B-B3F4-4A1FABA580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866836-537B-467C-9020-4553A43E99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c3c472-c2cb-40f4-8ab8-6e4f49d863f3"/>
    <ds:schemaRef ds:uri="18e4fe92-d5cf-4478-92fe-5b2833ba3a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132A6E-6E80-449C-A1D5-61D2A4F52C19}">
  <ds:schemaRefs>
    <ds:schemaRef ds:uri="http://schemas.microsoft.com/office/2006/metadata/properties"/>
    <ds:schemaRef ds:uri="http://schemas.microsoft.com/office/infopath/2007/PartnerControls"/>
    <ds:schemaRef ds:uri="edc3c472-c2cb-40f4-8ab8-6e4f49d863f3"/>
    <ds:schemaRef ds:uri="18e4fe92-d5cf-4478-92fe-5b2833ba3a5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3</vt:i4>
      </vt:variant>
    </vt:vector>
  </HeadingPairs>
  <TitlesOfParts>
    <vt:vector size="6" baseType="lpstr">
      <vt:lpstr>Capa</vt:lpstr>
      <vt:lpstr>Funções</vt:lpstr>
      <vt:lpstr>Deflatores Sisp</vt:lpstr>
      <vt:lpstr>Funções!TiposDeFuncao</vt:lpstr>
      <vt:lpstr>Funções!TiposDeManutencao</vt:lpstr>
      <vt:lpstr>Funções!Títulos_de_Impressão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</dc:creator>
  <cp:keywords/>
  <dc:description/>
  <cp:lastModifiedBy>Jessicka Araujo</cp:lastModifiedBy>
  <cp:revision/>
  <dcterms:created xsi:type="dcterms:W3CDTF">2015-06-26T19:24:40Z</dcterms:created>
  <dcterms:modified xsi:type="dcterms:W3CDTF">2026-04-22T20:20:27Z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0x010100464DFD015465304E9FF82913EE238D32</vt:lpwstr>
  </property>
</Properties>
</file>