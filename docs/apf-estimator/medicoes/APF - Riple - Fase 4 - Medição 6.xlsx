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Capa" sheetId="1" r:id="rId4"/>
    <sheet name="Funções" sheetId="2" r:id="rId5"/>
    <sheet name="Deflatores Sisp" sheetId="3" r:id="rId6"/>
  </sheets>
</workbook>
</file>

<file path=xl/comments1.xml><?xml version="1.0" encoding="utf-8"?>
<comments xmlns="http://schemas.openxmlformats.org/spreadsheetml/2006/main">
  <authors>
    <author>DELL</author>
  </authors>
  <commentList>
    <comment ref="B25" authorId="0">
      <text>
        <r>
          <rPr>
            <sz val="11"/>
            <color indexed="8"/>
            <rFont val="Helvetica Neue"/>
          </rPr>
          <t>DELL:
Total PFs Ajustado
Considerando o % das discilplinas entregues.</t>
        </r>
      </text>
    </comment>
  </commentList>
</comments>
</file>

<file path=xl/comments2.xml><?xml version="1.0" encoding="utf-8"?>
<comments xmlns="http://schemas.openxmlformats.org/spreadsheetml/2006/main">
  <authors>
    <author>Imported Author</author>
    <author>DELL</author>
    <author>Reinaldo José Vicente</author>
  </authors>
  <commentList>
    <comment ref="K5" authorId="0">
      <text>
        <r>
          <rPr>
            <sz val="11"/>
            <color indexed="8"/>
            <rFont val="Helvetica Neue"/>
          </rPr>
          <t>Imported Author:
Ponto de Função IFPUG:
Medição baseada nas regras do IFPUG. Não considerada os deflatores nem os itens não mensuráveis. Caso a funcionalidade não tenha sido detalhada, será considerada a estimativa da NESMA.</t>
        </r>
      </text>
    </comment>
    <comment ref="N5" authorId="0">
      <text>
        <r>
          <rPr>
            <sz val="11"/>
            <color indexed="8"/>
            <rFont val="Helvetica Neue"/>
          </rPr>
          <t>Imported Author:
Ponto de Função Local do EM:
Medição para remuneração do Escritório de Métricas. Equivalente à medição IFPUG. Porém, considera os itens não mensuráveis previstos em contrato.</t>
        </r>
      </text>
    </comment>
    <comment ref="O5" authorId="1">
      <text>
        <r>
          <rPr>
            <sz val="11"/>
            <color indexed="8"/>
            <rFont val="Helvetica Neue"/>
          </rPr>
          <t xml:space="preserve">DELL:
Total Pontos Ajustado (Tamanho Funcional + Requisitos Não Funcionais)
Considera os deflatores e os itens não mensuráveis previstos em contrato. Além do percentual das fases de disciplanas entregues. </t>
        </r>
      </text>
    </comment>
    <comment ref="A7" authorId="0">
      <text>
        <r>
          <rPr>
            <sz val="11"/>
            <color indexed="8"/>
            <rFont val="Helvetica Neue"/>
          </rPr>
          <t>Imported Author:
Identificação da Medição, Sprint ou Tarefa.</t>
        </r>
      </text>
    </comment>
    <comment ref="B7" authorId="2">
      <text>
        <r>
          <rPr>
            <sz val="11"/>
            <color indexed="8"/>
            <rFont val="Helvetica Neue"/>
          </rPr>
          <t>Reinaldo José Vicente:
Detalhes da medição, sprint ou tarefa ou nome da função.</t>
        </r>
      </text>
    </comment>
    <comment ref="C7" authorId="0">
      <text>
        <r>
          <rPr>
            <sz val="11"/>
            <color indexed="8"/>
            <rFont val="Helvetica Neue"/>
          </rPr>
          <t>Imported Author:
Tipo de Função: 
ALI, AIE, EE, SE, CE
ou
Itens não mensuráveis</t>
        </r>
      </text>
    </comment>
    <comment ref="D7" authorId="0">
      <text>
        <r>
          <rPr>
            <sz val="11"/>
            <color indexed="8"/>
            <rFont val="Helvetica Neue"/>
          </rPr>
          <t>Imported Author:
Tipo de Manutenção na função:
I, A, E 
ou
Itens não mensuráveis</t>
        </r>
      </text>
    </comment>
    <comment ref="E7" authorId="0">
      <text>
        <r>
          <rPr>
            <sz val="11"/>
            <color indexed="8"/>
            <rFont val="Helvetica Neue"/>
          </rPr>
          <t>Imported Author:
Tipos de Dados (DETs)</t>
        </r>
      </text>
    </comment>
    <comment ref="G7" authorId="0">
      <text>
        <r>
          <rPr>
            <sz val="11"/>
            <color indexed="8"/>
            <rFont val="Helvetica Neue"/>
          </rPr>
          <t>Imported Author:
Arquivos Referenciados / Tipos de Registro</t>
        </r>
      </text>
    </comment>
    <comment ref="I7" authorId="0">
      <text>
        <r>
          <rPr>
            <sz val="11"/>
            <color indexed="8"/>
            <rFont val="Helvetica Neue"/>
          </rPr>
          <t>Imported Author:
Grau de complexidade específico atribuído a uma função.</t>
        </r>
      </text>
    </comment>
    <comment ref="V7" authorId="1">
      <text>
        <r>
          <rPr>
            <sz val="11"/>
            <color indexed="8"/>
            <rFont val="Helvetica Neue"/>
          </rPr>
          <t>DELL:
Pontos de Função por Disciplina:
 Considera o % específico da fase x disciplina no cálculo.</t>
        </r>
      </text>
    </comment>
    <comment ref="W7" authorId="1">
      <text>
        <r>
          <rPr>
            <sz val="11"/>
            <color indexed="8"/>
            <rFont val="Helvetica Neue"/>
          </rPr>
          <t>DELL:
Pontos de Função por Disciplina:
 Considera o % específico da fase x disciplina no cálculo.</t>
        </r>
      </text>
    </comment>
    <comment ref="X7" authorId="0">
      <text>
        <r>
          <rPr>
            <sz val="11"/>
            <color indexed="8"/>
            <rFont val="Helvetica Neue"/>
          </rPr>
          <t>Imported Author:
Referência ao documento que justifica a contagem da funcionalidade</t>
        </r>
      </text>
    </comment>
  </commentList>
</comments>
</file>

<file path=xl/comments3.xml><?xml version="1.0" encoding="utf-8"?>
<comments xmlns="http://schemas.openxmlformats.org/spreadsheetml/2006/main">
  <authors>
    <author>Guilherme</author>
  </authors>
  <commentList>
    <comment ref="J43" authorId="0">
      <text>
        <r>
          <rPr>
            <sz val="11"/>
            <color indexed="8"/>
            <rFont val="Helvetica Neue"/>
          </rPr>
          <t>Guilherme:
Quantidade de itens Incluídos e Alterados</t>
        </r>
      </text>
    </comment>
    <comment ref="B51" authorId="0">
      <text>
        <r>
          <rPr>
            <sz val="11"/>
            <color indexed="8"/>
            <rFont val="Helvetica Neue"/>
          </rPr>
          <t xml:space="preserve">Guilherme:
Manutenção de Elastic Search (DATA LAKES)- Estrutura de dados adicional para o armazenamento de dados . Pesquisa e análise de grandes volumes de dados com rapidez. 
Abaixo a tabelas de Indice e ETL, conversão em PFs </t>
        </r>
      </text>
    </comment>
  </commentList>
</comments>
</file>

<file path=xl/sharedStrings.xml><?xml version="1.0" encoding="utf-8"?>
<sst xmlns="http://schemas.openxmlformats.org/spreadsheetml/2006/main" uniqueCount="300">
  <si>
    <t>Planilha de Contagem de Pontos de Função - Versão 2025.01</t>
  </si>
  <si>
    <t xml:space="preserve"> Roteiro de Métricas de Software do SISP V.2.3</t>
  </si>
  <si>
    <t>Identificação da Contagem</t>
  </si>
  <si>
    <t>Projeto/Demanda</t>
  </si>
  <si>
    <t>Riple - Fase 4</t>
  </si>
  <si>
    <t>Aplicação</t>
  </si>
  <si>
    <t>Riple - Ferramenta de Gestão de Desenvolvimento</t>
  </si>
  <si>
    <t>Responsável</t>
  </si>
  <si>
    <t>Prodesp</t>
  </si>
  <si>
    <t>Tipo de Contagem</t>
  </si>
  <si>
    <t>Projeto de Desenvolvimento</t>
  </si>
  <si>
    <t>Forma de Contagem</t>
  </si>
  <si>
    <t>Detalhada</t>
  </si>
  <si>
    <t>Tamanho em Pontos de Função</t>
  </si>
  <si>
    <t>Pontos de Função (IFPUG)</t>
  </si>
  <si>
    <r>
      <rPr>
        <b val="1"/>
        <sz val="10"/>
        <color indexed="9"/>
        <rFont val="Arial"/>
      </rPr>
      <t>Manutenção Corretiva</t>
    </r>
    <r>
      <rPr>
        <sz val="8"/>
        <color indexed="9"/>
        <rFont val="Arial"/>
      </rPr>
      <t xml:space="preserve"> (Legado ou S/ Garantia)</t>
    </r>
  </si>
  <si>
    <t>Manutenção Adaptativa</t>
  </si>
  <si>
    <t>Melhoria Evolutiva - Func. Incluídas</t>
  </si>
  <si>
    <t xml:space="preserve">Melhoria Evolutiva - Func. Alteradas </t>
  </si>
  <si>
    <t>Melhoria Evolutiva - Func. Excluídas</t>
  </si>
  <si>
    <t>Tamanho Funcional Ajustado</t>
  </si>
  <si>
    <r>
      <rPr>
        <b val="1"/>
        <sz val="10"/>
        <color indexed="9"/>
        <rFont val="Arial"/>
      </rPr>
      <t>Requisitos Técnicos</t>
    </r>
    <r>
      <rPr>
        <sz val="8"/>
        <color indexed="9"/>
        <rFont val="Arial"/>
      </rPr>
      <t xml:space="preserve"> (Correlação com Guia Local)</t>
    </r>
  </si>
  <si>
    <t>Total Pontos de Função (Tamanho Funcional Ajustado + Requisitos Não Funcionais)</t>
  </si>
  <si>
    <t>Escopo geral da contagem</t>
  </si>
  <si>
    <t>Planilha para controle das medições do Riple Fase 4 (Sustentação e Evolução)</t>
  </si>
  <si>
    <t>Histórico do Documento</t>
  </si>
  <si>
    <t>Data</t>
  </si>
  <si>
    <t>Versão</t>
  </si>
  <si>
    <t>Descrição</t>
  </si>
  <si>
    <t>Autor</t>
  </si>
  <si>
    <t>1.0</t>
  </si>
  <si>
    <t>Criação da planilha e inclusão das contagens das Sprints iniciais para entrada em produção do Sistema</t>
  </si>
  <si>
    <t>Levi Barros Nóbrega</t>
  </si>
  <si>
    <t>Planilha de contagem de ponto de função - Versão 1.0</t>
  </si>
  <si>
    <r>
      <rPr>
        <b val="1"/>
        <sz val="9"/>
        <color indexed="9"/>
        <rFont val="Franklin Gothic Medium"/>
      </rPr>
      <t>Projeto/Demanda : Riple - Fase 4</t>
    </r>
  </si>
  <si>
    <r>
      <rPr>
        <b val="1"/>
        <sz val="9"/>
        <color indexed="9"/>
        <rFont val="Franklin Gothic Medium"/>
      </rPr>
      <t>Tipo de Contagem : Projeto de Desenvolvimento</t>
    </r>
  </si>
  <si>
    <r>
      <rPr>
        <b val="1"/>
        <sz val="9"/>
        <color indexed="9"/>
        <rFont val="Franklin Gothic Medium"/>
      </rPr>
      <t>Aplicação : Riple - Ferramenta de Gestão de Desenvolvimento</t>
    </r>
  </si>
  <si>
    <r>
      <rPr>
        <b val="1"/>
        <sz val="9"/>
        <color indexed="9"/>
        <rFont val="Franklin Gothic Medium"/>
      </rPr>
      <t>Forma de Contagem : Detalhada</t>
    </r>
  </si>
  <si>
    <t>Total PF IFPUG</t>
  </si>
  <si>
    <t>PF Local do EM</t>
  </si>
  <si>
    <t>Total PF Ajustado</t>
  </si>
  <si>
    <t>Fases/Disciplinas</t>
  </si>
  <si>
    <r>
      <rPr>
        <b val="1"/>
        <sz val="9"/>
        <color indexed="9"/>
        <rFont val="Franklin Gothic Medium"/>
      </rPr>
      <t>Responsável : Prodesp</t>
    </r>
  </si>
  <si>
    <t>Medição / Sprint / Tarefa</t>
  </si>
  <si>
    <t>Detalhes / Nome da Função</t>
  </si>
  <si>
    <t>Tipo</t>
  </si>
  <si>
    <t>Manutenção</t>
  </si>
  <si>
    <t>TD</t>
  </si>
  <si>
    <t>Descr TD</t>
  </si>
  <si>
    <t>AR/TR</t>
  </si>
  <si>
    <t>Descr AR/TR</t>
  </si>
  <si>
    <t>Complex.</t>
  </si>
  <si>
    <t>ctl</t>
  </si>
  <si>
    <t>PF IFPUG</t>
  </si>
  <si>
    <t>C</t>
  </si>
  <si>
    <t>ctl2</t>
  </si>
  <si>
    <t>PF Ajustado</t>
  </si>
  <si>
    <t>Requisitos (25%)</t>
  </si>
  <si>
    <t>Projeto 
(10%)</t>
  </si>
  <si>
    <t>Implementação (40%)</t>
  </si>
  <si>
    <t>Teste 
(15%)</t>
  </si>
  <si>
    <t>Homologação
(5%)</t>
  </si>
  <si>
    <t>Implantação (5%)</t>
  </si>
  <si>
    <t>Não se aplica</t>
  </si>
  <si>
    <t>% Percentual por Disciplina</t>
  </si>
  <si>
    <t>Referência</t>
  </si>
  <si>
    <t>Observações</t>
  </si>
  <si>
    <t>Medição 04 (M04)</t>
  </si>
  <si>
    <t>Tarefas da Medição 04 - Fevereiro/2026</t>
  </si>
  <si>
    <t>M04</t>
  </si>
  <si>
    <t>Tarefas do Sprint 04, de 20/01/2026 a 13/02/2026</t>
  </si>
  <si>
    <t>Listar_OSs_Migraveis_HHPF</t>
  </si>
  <si>
    <t>CE</t>
  </si>
  <si>
    <t>I</t>
  </si>
  <si>
    <t>os_numero, projeto_nome, cliente_nome, fornecedor_razao_social, contrato_codigo, tipo_os_atual, pf_saldo_disponivel, horas_totais, total_itens, itens_migraveis, status_vigencia, filtros_contrato_fornecedor_status. Listagem paginada de Ordens de Serviço do tipo HH/PF elegíveis para migração manual para o tipo PF, exibidas na tela administrativa de Migração HH/PF → PF.</t>
  </si>
  <si>
    <t>5 TR:
(1) Ordens_Servico – dados principais da OS candidata à migração;
(2) Contratos – código e parâmetros contratuais do contrato base;
(3) Projetos – nome do projeto e cliente vinculado;
(4) Fornecedores – razão social do fornecedor responsável pela OS;
(5) Itens_OS – contagem de itens elegíveis para conversão por OS.</t>
  </si>
  <si>
    <t>Alta</t>
  </si>
  <si>
    <r>
      <rPr>
        <b val="1"/>
        <sz val="8"/>
        <color indexed="8"/>
        <rFont val="Franklin Gothic Medium"/>
      </rPr>
      <t>CEH</t>
    </r>
  </si>
  <si>
    <t>H</t>
  </si>
  <si>
    <t>CEI</t>
  </si>
  <si>
    <t>x</t>
  </si>
  <si>
    <t>Detalhe_OS_Para_Migracao_HHPF</t>
  </si>
  <si>
    <t>os_numero, projeto_nome, cliente_nome, contrato_codigo, tipo_os_atual, pf_total, pf_consumido, pf_saldo, horas_totais_origem, itens_completos[], itens_incompletos[], ates_sem_perfil[], perfis_contrato_map, valor_por_perfil, pf_rate_resolvido. Visualização detalhada de uma OS HH/PF antes da migração, exibindo header, itens elegíveis, ATEs sem perfil vinculado e impacto previsto item a item.</t>
  </si>
  <si>
    <t>6 TR:
(1) Ordens_Servico – header completo da OS em migração;
(2) Itens_OS – itens HST/UST vigentes para conversão;
(3) Itens_Contrato – parâmetros de preço e perfil por item;
(4) Usuarios_e_Papeis – profiles de ATEs vinculados à OS;
(5) Apontamentos – histórico de consumo por item;
(6) Apontamento_PF_Movimentos – movimentações auditoria PF.</t>
  </si>
  <si>
    <t>Preview_DryRun_Migracao_Item_HHPF</t>
  </si>
  <si>
    <t>SE</t>
  </si>
  <si>
    <t>item_os_id, item_contrato_origem, item_contrato_destino_pf, apontamentos_livres_count, horas_livres, pf_equivalente_preview, pf_saldo_antes, pf_saldo_depois, validacoes_bloqueantes[], validacoes_informativas[], perfil_ate_esperado, impacto_valor_total. Geração de preview (dry-run) da migração de um item HH/PF para o item PF correspondente do mesmo contrato, sem persistir dados, permitindo ao administrador conferir o impacto antes da execução.</t>
  </si>
  <si>
    <t>5 TR:
(1) Itens_OS – item origem a ser convertido;
(2) Itens_Contrato – mapeamento origem→PF no mesmo contrato;
(3) Apontamentos – apontamentos livres sem período fechado;
(4) Usuarios_e_Papeis – perfis ATE envolvidos no cálculo;
(5) Ordens_Servico – saldo PF simulado pós-migração.</t>
  </si>
  <si>
    <r>
      <rPr>
        <b val="1"/>
        <sz val="8"/>
        <color indexed="8"/>
        <rFont val="Franklin Gothic Medium"/>
      </rPr>
      <t>SEH</t>
    </r>
  </si>
  <si>
    <t>SEI</t>
  </si>
  <si>
    <t>Confirmar_Migracao_Item_HHPF_Para_PF</t>
  </si>
  <si>
    <t>EE</t>
  </si>
  <si>
    <t>item_os_id, item_contrato_destino_pf, confirmado_por, confirmado_em, pf_saldo_anterior, pf_saldo_novo, apontamentos_afetados[], recalculo_disparado, audit_log_id, dry_run_flag. Execução efetiva da migração de um item HH/PF para o item PF correspondente, com recálculo automático do saldo PF da OS via hhpf_recalc_pf_saldo_os e registro em audit_logs.</t>
  </si>
  <si>
    <t>5 TR:
(1) Itens_OS – troca de item_contrato_id para versão PF;
(2) Ordens_Servico – saldo PF recalculado automaticamente;
(3) Apontamento_PF_Movimentos – registro de movimento auditoria;
(4) Audit_Logs – log detalhado da operação administrativa;
(5) Profiles – identificação do administrador executor.</t>
  </si>
  <si>
    <r>
      <rPr>
        <b val="1"/>
        <sz val="8"/>
        <color indexed="8"/>
        <rFont val="Franklin Gothic Medium"/>
      </rPr>
      <t>EEH</t>
    </r>
  </si>
  <si>
    <t>EEI</t>
  </si>
  <si>
    <t>Preservacao_Itens_OS_Ao_Trocar_Tipo</t>
  </si>
  <si>
    <t>os_id, tipo_os_anterior, tipo_os_novo, itens_preservados[], quantidades_mantidas, alocacoes_mantidas, categoria_item_determinada, itens_incompativeis_removidos[], alterado_por, alterado_em. Preservação automática de quantidades e alocações de itens ao alternar entre tipos de OS compatíveis (ex.: HORAS ↔ HH/PF ↔ PROVISORIA_PF) no formulário de Ordem de Serviço, com utilitário de determinação de categoria do item para decidir o que manter ou descartar.</t>
  </si>
  <si>
    <t>4 TR:
(1) Ordens_Servico – atualização de tipo_os com contexto preservado;
(2) Itens_OS – retenção de quantidades e perfil_contrato_id;
(3) Colaborador_Item_OS – manutenção das alocações ATE→item;
(4) Itens_Contrato – validação de categoria compatível item a item.</t>
  </si>
  <si>
    <t>Resolver_Taxa_PF_Dominancia_Estrita</t>
  </si>
  <si>
    <t>AIE</t>
  </si>
  <si>
    <t>os_id, ate_id, data_referencia, contrato_id, perfil_contrato_id, pf_rate_dominante, fonte_calculo, candidatos_considerados[], peso_por_candidato, score_dominancia, scenario_fallback_aplicado, estrategia_usada, pf_rate_legacy, heuristica_version, display_rate_resolvido, valor_documento_oficial_ref, horas_contabilizadas, pf_convertido_preview, divergencia_detectada, log_auditoria_resolucao. Função RPC hhpf_resolve_pf_rate de resolução de taxa PF com heurística de dominância estrita para cenários multi-perfil, substituindo lógica antiga por algoritmo determinístico que preserva integridade histórica, aplica fallback controlado e loga decisão de resolução para auditoria contábil.</t>
  </si>
  <si>
    <t>4 TR:
(1) Itens_Contrato – taxas PF por perfil no contrato;
(2) Usuarios_e_Papeis – perfil_contrato_id ativo do ATE;
(3) Ordens_Servico – tipo/escopo da OS origem;
(4) Apontamentos – contexto histórico para fallback.</t>
  </si>
  <si>
    <t>Média</t>
  </si>
  <si>
    <r>
      <rPr>
        <b val="1"/>
        <sz val="8"/>
        <color indexed="8"/>
        <rFont val="Franklin Gothic Medium"/>
      </rPr>
      <t>AIEA</t>
    </r>
  </si>
  <si>
    <t>A</t>
  </si>
  <si>
    <t>AIEI</t>
  </si>
  <si>
    <t>Calendario_Apontamentos_Fornecedor</t>
  </si>
  <si>
    <t>data_referencia, total_horas_dia, total_registros_dia, status_list[], ates_distintos, color_coded_status, filtros_data_inicio_fim, filtros_ate, filtros_os, filtros_status, tooltip_resumo, navegacao_mensal, drill_down_detalhado, agregacao_automatica. Visualização em formato de calendário dos apontamentos agregados por dia dos ATEs do fornecedor autenticado, com filtros por ATE, OS e status, substituindo visualização de lista em Histórico de Apontamentos do Fornecedor.</t>
  </si>
  <si>
    <t>6 TR:
(1) Apontamentos – registros horários agregados por dia;
(2) Usuarios_e_Papeis – ATEs do fornecedor autenticado;
(3) Fornecedores – escopo de visibilidade do gestor;
(4) Ordens_Servico – filtro por OS específica;
(5) Profiles – fornecedor_id do usuário autenticado;
(6) Periodos_Mensais – range padrão de consulta.</t>
  </si>
  <si>
    <t>Exportar_Calendario_Excel_Fornecedor</t>
  </si>
  <si>
    <t>data_referencia, ate_nome, ate_matricula, os_numero, projeto_nome, hora_entrada, hora_saida, total_horas, status_apontamento, atividades, horas_extras, horas_banco, data_exportacao, filtros_aplicados. Exportação para Excel do detalhamento de apontamentos do calendário do fornecedor, com linhas por apontamento e colunas padronizadas para conferência contábil.</t>
  </si>
  <si>
    <t>5 TR:
(1) Apontamentos – linhas detalhadas a exportar;
(2) Usuarios_e_Papeis – nome e matrícula dos ATEs;
(3) Ordens_Servico – número da OS apontada;
(4) Projetos – nome do projeto vinculado;
(5) Fornecedores – escopo fornecedor do usuário.</t>
  </si>
  <si>
    <t>Tipo_OS_PROVISORIA_PF</t>
  </si>
  <si>
    <t>os_id, tipo_os, numero_nullable, itens_pf_provisorios[], horas_totais_provisorias, pf_saldo_provisorio, perfil_contrato_obrigatorio, vigencia_provisoria_inicio, vigencia_provisoria_fim, criado_por, observacoes, flag_aguardando_numero_oficial. Inclusão do tipo de OS 'PROVISORIA_PF' no formulário e validações, permitindo criar OS PF antes do número oficial ser atribuído pelo cliente, com numero nullable e transição controlada para PF definitivo.</t>
  </si>
  <si>
    <t>5 TR:
(1) Ordens_Servico – novo tipo_os aceito por check constraint;
(2) Itens_OS – itens provisórios vinculados;
(3) Itens_Contrato – perfis PF disponíveis no contrato;
(4) Parametros_Contratuais – regras do contrato origem;
(5) Profiles – criador do registro provisório.</t>
  </si>
  <si>
    <t>Conversao_PROVISORIA_Para_PF_Definitiva</t>
  </si>
  <si>
    <t>os_id, numero_oficial_novo, data_conversao, valor_oficial, horas_totais_reconsolidadas, pf_total_consolidado, apontamentos_preservados, documentos_revinculados, convertido_por, justificativa. Operação de conversão de uma OS PROVISORIA_PF em PF definitiva quando o número oficial é disponibilizado, preservando itens, apontamentos e saldo consumido, com recálculo de totalizadores.</t>
  </si>
  <si>
    <t>5 TR:
(1) Ordens_Servico – atualização do tipo e número oficial;
(2) Itens_OS – reconciliação dos itens PF;
(3) Apontamentos – revinculação para o novo contexto;
(4) Documento_Periodo_Status – atualização dos documentos gerados;
(5) Audit_Logs – auditoria da conversão definitiva.</t>
  </si>
  <si>
    <t>Conversao_HH_Para_PF_RN02</t>
  </si>
  <si>
    <t>os_id, periodo_faturamento_id, apontamentos_agregados[], total_horas_periodo, pf_convertido_bruto, pf_convertido_truncado, valor_documento_oficial, rates_ate_aplicadas, perfis_por_ate[], deducao_automatica_saldo, divergencia_tratada, rn02_versao_aplicada. Motor de conversão HH→PF alinhado à RN02, englobando cálculo determinístico com rates ATE, dedução automática do saldo PF, truncamento contábil e reconciliação com valor documento oficial no faturamento de OSs HH/PF.</t>
  </si>
  <si>
    <t>5 TR:
(1) Apontamentos – horas-fonte do período;
(2) Usuarios_e_Papeis – perfis ATE resolvidos por apontamento;
(3) Itens_Contrato – rates PF do contrato;
(4) Ordens_Servico – saldo PF deduzido automaticamente;
(5) Periodos_Faturamento – escopo temporal de cálculo.</t>
  </si>
  <si>
    <t>Apontamento_Pos_Fechamento_Insercao</t>
  </si>
  <si>
    <t>apontamento_id, periodo_id, pos_fechamento_flag, data_referencia, horas_regulares, horas_extras, horas_banco, justificativa_pos_fechamento, autorizado_por, autorizado_em, trigger_validacao_aplicada. Inserção, edição e transferência de apontamentos marcados como 'pós-fechamento' em períodos de faturamento já fechados, com trigger de validação que controla o bypass por RBAC e registra auditoria obrigatória.</t>
  </si>
  <si>
    <t>4 TR:
(1) Apontamentos – novo campo pos_fechamento e fluxo especial;
(2) Periodos_Faturamento – validação de período fechado;
(3) Profiles – autorização do gestor responsável;
(4) Audit_Logs – registro obrigatório da operação retroativa.</t>
  </si>
  <si>
    <t>Captura_Apontamentos_Orfaos_Fechados</t>
  </si>
  <si>
    <t>apontamento_id, os_id, data_referencia, periodo_aberto_destino, motivo_captura, captura_automatica_flag, processado_por_job, status_pos_captura. Rotina que captura apontamentos órfãos (sem período vinculado) em cenários onde o período original foi fechado, redirecionando-os para o próximo período aberto compatível com notificação ao gestor.</t>
  </si>
  <si>
    <t>4 TR:
(1) Apontamentos – atualização de periodo_faturamento_id;
(2) Periodos_Faturamento – seleção de período destino aberto;
(3) Ordens_Servico – validação de vigência compatível;
(4) Audit_Logs – rastreamento da captura automática.</t>
  </si>
  <si>
    <t>Projeto_Vinculo_Multiplas_ESPs</t>
  </si>
  <si>
    <t>projeto_id, esps_vinculadas[], esp_principal, data_vinculacao, alterado_por, criar_combo_selecao, historico_vinculos[], validacao_exclusividade_os, observacoes. Permite que um projeto seja vinculado a múltiplas ESPs, substituindo relação 1:1 por N:N, com combo de seleção no formulário de projetos e cascata para seleção em OS.</t>
  </si>
  <si>
    <t>4 TR:
(1) Projetos – vínculo N:N com ESPs;
(2) Projeto_ESPs – tabela associativa nova;
(3) ESPs – ESPs candidatas ao vínculo;
(4) Audit_Logs – histórico de alterações de vínculo.</t>
  </si>
  <si>
    <t>OS_Vinculo_Multiplas_ESPs_Combo</t>
  </si>
  <si>
    <t>os_id, esp_id_selecionada, esps_disponiveis_projeto[], contrato_id_inferido, valor_total_esp, saldo_restante_esp, alteracao_historico, validacao_saldo. Adaptação do formulário de OS para permitir escolher uma ESP específica entre as múltiplas vinculadas ao projeto, com combo dinâmico baseado no projeto selecionado e validação de saldo disponível.</t>
  </si>
  <si>
    <t>4 TR:
(1) Ordens_Servico – esp_id selecionada por OS;
(2) ESPs – dados da ESP selecionada;
(3) Projeto_ESPs – ESPs disponíveis ao projeto;
(4) ESP_Transacoes – saldo disponível consultado.</t>
  </si>
  <si>
    <t>Dashboard_Medicao_Por_Gerencia</t>
  </si>
  <si>
    <t>periodo_mensal_id, gerencia_nome, coordenadoria, total_periodos, bucket_A_pendente, bucket_B_prodesp, bucket_B_fornecedor, bucket_C_prodesp, bucket_C_fornecedor, bucket_D, bucket_E_concluido, pend_total, valor_total_agregado, drill_down_url. Novo dashboard de medições com agregação por Gerência conforme RN05, exibindo buckets A-E mutuamente exclusivos por status documental e totalizadores hierárquicos.</t>
  </si>
  <si>
    <t>5 TR:
(1) Periodos_Faturamento – status documental agregado;
(2) Ordens_Servico – vínculo unidade/gerência;
(3) Unidades – hierarquia gerência→coordenadoria;
(4) Apontamentos – base para valor calculado aberto;
(5) Profiles – RBAC para visualização dos buckets.</t>
  </si>
  <si>
    <t>Regra_Assinado_Vence_SEI_Selecao_Doc</t>
  </si>
  <si>
    <t>periodo_id, tipo_documento, documentos_candidatos[], documento_assinado_selecionado, documento_rascunho_descartado, motivo_selecao, data_assinatura_sei, protocolo_selecionado, flag_assinado_vence_aplicada. Implementação da regra 'Assinado Vence' na seleção de documentos SEI no modal de Assinaturas, garantindo que documentos assinados tenham prioridade sobre rascunhos/drafts para cálculos de faturamento e conformidade.</t>
  </si>
  <si>
    <t>4 TR:
(1) SEI_Assinaturas – documentos assinados prioritários;
(2) SEI_Exports – documentos exportados candidatos;
(3) Documento_Periodo_Status – status de seleção vigente;
(4) Periodos_Faturamento – contexto documental do período.</t>
  </si>
  <si>
    <t>Itens Não Mensuráveis</t>
  </si>
  <si>
    <t>Tipo de Manutenção na Função</t>
  </si>
  <si>
    <t>Sigla</t>
  </si>
  <si>
    <t>Contribuição em PF Local</t>
  </si>
  <si>
    <t>PF Local FS</t>
  </si>
  <si>
    <t>Fator Disciplina</t>
  </si>
  <si>
    <t>Tamanho Ajustado</t>
  </si>
  <si>
    <t>Contrato</t>
  </si>
  <si>
    <t>Origem</t>
  </si>
  <si>
    <t>Percentual (%)</t>
  </si>
  <si>
    <t>Fixa (PF)</t>
  </si>
  <si>
    <t>SISP 2.3</t>
  </si>
  <si>
    <t>Inclusão</t>
  </si>
  <si>
    <t>EvolutivaI</t>
  </si>
  <si>
    <t>Alteração (sem conhecimento do Fator de Impacto)</t>
  </si>
  <si>
    <t>SISP – 4.2 Projeto de Melhoria</t>
  </si>
  <si>
    <t>EvolutivaA</t>
  </si>
  <si>
    <t>Exclusão</t>
  </si>
  <si>
    <t>E</t>
  </si>
  <si>
    <t>EvolutivaE</t>
  </si>
  <si>
    <t>Alteração (50%) de função desenvolvida ou já alterada pela empresa atual</t>
  </si>
  <si>
    <t>A50</t>
  </si>
  <si>
    <t xml:space="preserve"> FI = 75% para funcionalidade de sistema não desenvolvida ou mantida por meio de um projeto de melhoria pela empresa contratada e sem necessidade de redocumentação da funcionalidade.</t>
  </si>
  <si>
    <t>A75</t>
  </si>
  <si>
    <t>Alteração (75%+15%): o mesmo acima + redocumentar a função</t>
  </si>
  <si>
    <t>A90</t>
  </si>
  <si>
    <t>Migração de Dados</t>
  </si>
  <si>
    <t>SISP – 4.3 Projetos de Migração de Dados</t>
  </si>
  <si>
    <t>PMD</t>
  </si>
  <si>
    <t>Corretiva (sem conhecimento do Fator de Impacto)</t>
  </si>
  <si>
    <t>SISP – 4.4 Manutenção Corretiva</t>
  </si>
  <si>
    <t>COR</t>
  </si>
  <si>
    <t>CORRETIVA</t>
  </si>
  <si>
    <t>Corretiva (50%) - Fora da garantia (mesma empresa)</t>
  </si>
  <si>
    <t>COR50</t>
  </si>
  <si>
    <t>Corretiva (75%) - Fora da garantia (outra empresa)</t>
  </si>
  <si>
    <t>COR75</t>
  </si>
  <si>
    <t>Corretiva (75%+15%) - Fora da garantia (outra empresa) + Redocumentação</t>
  </si>
  <si>
    <t>COR90</t>
  </si>
  <si>
    <t>Corretiva em Garantia</t>
  </si>
  <si>
    <t>GAR</t>
  </si>
  <si>
    <t>Mudança de Plataforma - Linguagem de Programação</t>
  </si>
  <si>
    <t>SISP – 4.5.1 Mudança de Plataforma – Linguagem de Programação</t>
  </si>
  <si>
    <t>MLP</t>
  </si>
  <si>
    <t>ADAPTATIVA</t>
  </si>
  <si>
    <t>Mudança de Plataforma - Banco de Dados (outro paradigma)</t>
  </si>
  <si>
    <t>SISP – 4.5.2 Mudança de Plataforma – Banco de Dados</t>
  </si>
  <si>
    <t>MBO</t>
  </si>
  <si>
    <t>Mudança de Plataforma - Banco de Dados (mesmo paradigma com alterações)</t>
  </si>
  <si>
    <t>MBM</t>
  </si>
  <si>
    <t>Atualização de Versão – Linguagem de Programação</t>
  </si>
  <si>
    <t>SISP – 4.6.1 Atualização de Versão – Linguagem de Programação</t>
  </si>
  <si>
    <t>ALP</t>
  </si>
  <si>
    <t>Atualização de Versão – Browser</t>
  </si>
  <si>
    <t>SISP – 4.6.2 Atualização de Versão – Browser</t>
  </si>
  <si>
    <t>AVB</t>
  </si>
  <si>
    <t>Atualização de Versão – Banco de Dados</t>
  </si>
  <si>
    <t>SISP – 4.6.3 Atualização de Versão – Banco de Dados</t>
  </si>
  <si>
    <t>ABD</t>
  </si>
  <si>
    <t>Manutenção Cosmética</t>
  </si>
  <si>
    <t>SISP – 4.7 Manutenção Cosmética</t>
  </si>
  <si>
    <t>COS</t>
  </si>
  <si>
    <t>Adaptação em Funcionalidades sem Alteração de Requisitos Funcionais (sem conhecimento do Fator de Impacto)</t>
  </si>
  <si>
    <t>SISP – 4.8 Adaptação em Funcionalidades sem Alteração de Requisitos Funcionais</t>
  </si>
  <si>
    <t>ARN</t>
  </si>
  <si>
    <t>Adaptação em Funcionalidades sem Alteração de Requisitos Funcionais (50%) (em função desenvolvida ou já alterada pela empresa atual)</t>
  </si>
  <si>
    <t>ARN50</t>
  </si>
  <si>
    <t>Adaptação em Funcionalidades sem Alteração de Requisitos Funcionais (75%) (em função não desenvolvida e ainda não alterada pela empresa atual)</t>
  </si>
  <si>
    <t>ARN75</t>
  </si>
  <si>
    <t>Atualização de Dados sem Consulta Prévia</t>
  </si>
  <si>
    <t>SISP – 4.9.1 Apuração Especial – Base de Dados</t>
  </si>
  <si>
    <t>ADS</t>
  </si>
  <si>
    <t>Consulta Prévia sem Atualização</t>
  </si>
  <si>
    <t>CPA</t>
  </si>
  <si>
    <t>Atualização de Dados com Consulta Prévia</t>
  </si>
  <si>
    <t>ADC</t>
  </si>
  <si>
    <t>Apuração Especial – Geração de Relatórios</t>
  </si>
  <si>
    <t>SISP – 4.9.2 Apuração Especial – Geração de Relatórios</t>
  </si>
  <si>
    <t>AGR</t>
  </si>
  <si>
    <t>Apuração Especial – Reexecução</t>
  </si>
  <si>
    <t>SISP – 4.9.3 Apuração Especial – Reexecução</t>
  </si>
  <si>
    <t>AER</t>
  </si>
  <si>
    <t>Atualização de Dados</t>
  </si>
  <si>
    <t>SISP – 4.10 Atualização de Dados</t>
  </si>
  <si>
    <t>ATD</t>
  </si>
  <si>
    <t>Manutenção de Documentação de Sistemas Legados</t>
  </si>
  <si>
    <t>SISP – 4.12 Manutenção de Documentação de Sistemas Legados</t>
  </si>
  <si>
    <t>MSL</t>
  </si>
  <si>
    <t>Verificação de Erros (Sem Documentação de Teste existente)</t>
  </si>
  <si>
    <t>SISP – 4.13 Verificação de Erros</t>
  </si>
  <si>
    <t>VES</t>
  </si>
  <si>
    <t>Verificação de Erros (Com Documentação de Teste existente)</t>
  </si>
  <si>
    <t>VEC</t>
  </si>
  <si>
    <t>Pontos de Função de Teste</t>
  </si>
  <si>
    <t>SISP – 4.14 Pontos de Função de Teste</t>
  </si>
  <si>
    <t>PFT</t>
  </si>
  <si>
    <t>Componente Interno Reusável</t>
  </si>
  <si>
    <t>SISP – 4.15 Componente Interno Reusável</t>
  </si>
  <si>
    <t>CIR</t>
  </si>
  <si>
    <t>PRODESP - TCESP</t>
  </si>
  <si>
    <t>Alteração em funcionalidade</t>
  </si>
  <si>
    <t>Confirmar com o Responsáveis!!!!! E-mail 
13 de jun. de 2022 15:11</t>
  </si>
  <si>
    <t xml:space="preserve">           .</t>
  </si>
  <si>
    <t>ALI</t>
  </si>
  <si>
    <t>Quantidade</t>
  </si>
  <si>
    <t>Páginas Estáticas</t>
  </si>
  <si>
    <t>SISP – 4.11 Desenvolvimento, Manutenção e Publicação de Paginas Estáticas de Intranet, Internet ou Portal</t>
  </si>
  <si>
    <t>PAG</t>
  </si>
  <si>
    <r>
      <rPr>
        <b val="1"/>
        <sz val="9"/>
        <color indexed="19"/>
        <rFont val="Franklin Gothic Medium"/>
      </rPr>
      <t>PAG</t>
    </r>
  </si>
  <si>
    <t>PRODESP</t>
  </si>
  <si>
    <r>
      <rPr>
        <b val="1"/>
        <sz val="9"/>
        <color indexed="19"/>
        <rFont val="Franklin Gothic Medium"/>
      </rPr>
      <t>Conteúdo estático em sites ou Portais - neste item são considerados página e seus componentes internos, menus e arquivos para download (Incluídos e Alterados)</t>
    </r>
  </si>
  <si>
    <t>Guia local - Edital com a Prodesp - PRO-7952</t>
  </si>
  <si>
    <t>COSNF</t>
  </si>
  <si>
    <r>
      <rPr>
        <b val="1"/>
        <sz val="9"/>
        <color indexed="19"/>
        <rFont val="Franklin Gothic Medium"/>
      </rPr>
      <t>COSNF</t>
    </r>
  </si>
  <si>
    <r>
      <rPr>
        <b val="1"/>
        <sz val="9"/>
        <color indexed="19"/>
        <rFont val="Franklin Gothic Medium"/>
      </rPr>
      <t>Conteúdo estático em sites ou Portais - neste item são considerados página e seus componentes internos, menus e arquivos para download (Excluídos)</t>
    </r>
  </si>
  <si>
    <t>COSNFE</t>
  </si>
  <si>
    <r>
      <rPr>
        <b val="1"/>
        <sz val="9"/>
        <color indexed="19"/>
        <rFont val="Franklin Gothic Medium"/>
      </rPr>
      <t>COSNFE</t>
    </r>
  </si>
  <si>
    <r>
      <rPr>
        <b val="1"/>
        <sz val="9"/>
        <color indexed="19"/>
        <rFont val="Franklin Gothic Medium"/>
      </rPr>
      <t>Dados de Código - Inclusão de Tabela</t>
    </r>
  </si>
  <si>
    <t>DCDI</t>
  </si>
  <si>
    <r>
      <rPr>
        <b val="1"/>
        <sz val="9"/>
        <color indexed="19"/>
        <rFont val="Franklin Gothic Medium"/>
      </rPr>
      <t>DCDI</t>
    </r>
  </si>
  <si>
    <t>Dados de Código -Alteração de Tabela</t>
  </si>
  <si>
    <t>DCDA</t>
  </si>
  <si>
    <r>
      <rPr>
        <b val="1"/>
        <sz val="9"/>
        <color indexed="19"/>
        <rFont val="Franklin Gothic Medium"/>
      </rPr>
      <t>DCDA</t>
    </r>
  </si>
  <si>
    <t>Dados de Código - Exclusão de Tabela</t>
  </si>
  <si>
    <t>DCDE</t>
  </si>
  <si>
    <r>
      <rPr>
        <b val="1"/>
        <sz val="9"/>
        <color indexed="19"/>
        <rFont val="Franklin Gothic Medium"/>
      </rPr>
      <t>DCDE</t>
    </r>
  </si>
  <si>
    <t>Dados de Código - Inclusão de funcionalidade</t>
  </si>
  <si>
    <t>DCFI</t>
  </si>
  <si>
    <r>
      <rPr>
        <b val="1"/>
        <sz val="9"/>
        <color indexed="19"/>
        <rFont val="Franklin Gothic Medium"/>
      </rPr>
      <t>DCFI</t>
    </r>
  </si>
  <si>
    <t>Dados de Código - Alteração de funcionalidade</t>
  </si>
  <si>
    <t>DCFA</t>
  </si>
  <si>
    <r>
      <rPr>
        <b val="1"/>
        <sz val="9"/>
        <color indexed="19"/>
        <rFont val="Franklin Gothic Medium"/>
      </rPr>
      <t>DCFA</t>
    </r>
  </si>
  <si>
    <t>Dados de Código - Exclusão de funcionalidade</t>
  </si>
  <si>
    <t>DCFE</t>
  </si>
  <si>
    <r>
      <rPr>
        <b val="1"/>
        <sz val="9"/>
        <color indexed="19"/>
        <rFont val="Franklin Gothic Medium"/>
      </rPr>
      <t>DCFE</t>
    </r>
  </si>
  <si>
    <r>
      <rPr>
        <b val="1"/>
        <sz val="9"/>
        <color indexed="19"/>
        <rFont val="Franklin Gothic Medium"/>
      </rPr>
      <t>Manutenção de Elastic Search (DATA LAKES)- Inclusão de Índice</t>
    </r>
  </si>
  <si>
    <t>DATDI</t>
  </si>
  <si>
    <r>
      <rPr>
        <b val="1"/>
        <sz val="9"/>
        <color indexed="19"/>
        <rFont val="Franklin Gothic Medium"/>
      </rPr>
      <t>DATDI</t>
    </r>
  </si>
  <si>
    <t>Manutenção de Elastic Search (DATA LAKES) Alteração de Índice</t>
  </si>
  <si>
    <t>DATDA</t>
  </si>
  <si>
    <r>
      <rPr>
        <b val="1"/>
        <sz val="9"/>
        <color indexed="19"/>
        <rFont val="Franklin Gothic Medium"/>
      </rPr>
      <t>DATDA</t>
    </r>
  </si>
  <si>
    <t>Manutenção de Elastic Search (DATA LAKES) - Exclusão de Índice</t>
  </si>
  <si>
    <t>DATDE</t>
  </si>
  <si>
    <r>
      <rPr>
        <b val="1"/>
        <sz val="9"/>
        <color indexed="19"/>
        <rFont val="Franklin Gothic Medium"/>
      </rPr>
      <t>DATDE</t>
    </r>
  </si>
  <si>
    <t>Manutenção de Elastic Search (DATA LAKES) - Inclusão de ETL</t>
  </si>
  <si>
    <t>DATEI</t>
  </si>
  <si>
    <r>
      <rPr>
        <b val="1"/>
        <sz val="9"/>
        <color indexed="19"/>
        <rFont val="Franklin Gothic Medium"/>
      </rPr>
      <t>DATEI</t>
    </r>
  </si>
  <si>
    <t>Manutenção de Elastic Search (DATA LAKES) - Alteração de ETL</t>
  </si>
  <si>
    <t>DATEA</t>
  </si>
  <si>
    <r>
      <rPr>
        <b val="1"/>
        <sz val="9"/>
        <color indexed="19"/>
        <rFont val="Franklin Gothic Medium"/>
      </rPr>
      <t>DATEA</t>
    </r>
  </si>
  <si>
    <t>Manutenção de Elastic Search (DATA LAKES) - Exclusão de ETL</t>
  </si>
  <si>
    <t>DATEE</t>
  </si>
  <si>
    <r>
      <rPr>
        <b val="1"/>
        <sz val="9"/>
        <color indexed="19"/>
        <rFont val="Franklin Gothic Medium"/>
      </rPr>
      <t>DATEE</t>
    </r>
  </si>
  <si>
    <r>
      <rPr>
        <b val="1"/>
        <sz val="9"/>
        <color indexed="19"/>
        <rFont val="Franklin Gothic Medium"/>
      </rPr>
      <t>Dados Hard Coded - Contempla inclusão, alteração ou exclusão de dados em unidades de implementação, tais como programas-fonte ou scripts SQL ou DDL</t>
    </r>
  </si>
  <si>
    <t>HARDC</t>
  </si>
  <si>
    <r>
      <rPr>
        <b val="1"/>
        <sz val="9"/>
        <color indexed="19"/>
        <rFont val="Franklin Gothic Medium"/>
      </rPr>
      <t>HARDC</t>
    </r>
  </si>
  <si>
    <r>
      <rPr>
        <b val="1"/>
        <sz val="9"/>
        <color indexed="19"/>
        <rFont val="Franklin Gothic Medium"/>
      </rPr>
      <t>Pronto-atendimento - Contempla tarefas de pronto-atendimento (considera 10h = 1 PF)</t>
    </r>
  </si>
  <si>
    <t>PA</t>
  </si>
  <si>
    <r>
      <rPr>
        <b val="1"/>
        <sz val="9"/>
        <color indexed="19"/>
        <rFont val="Franklin Gothic Medium"/>
      </rPr>
      <t>PA</t>
    </r>
  </si>
  <si>
    <r>
      <rPr>
        <b val="1"/>
        <sz val="9"/>
        <color indexed="19"/>
        <rFont val="Franklin Gothic Medium"/>
      </rPr>
      <t xml:space="preserve">           .</t>
    </r>
  </si>
</sst>
</file>

<file path=xl/styles.xml><?xml version="1.0" encoding="utf-8"?>
<styleSheet xmlns="http://schemas.openxmlformats.org/spreadsheetml/2006/main">
  <numFmts count="3">
    <numFmt numFmtId="0" formatCode="General"/>
    <numFmt numFmtId="59" formatCode="0.0%"/>
    <numFmt numFmtId="60" formatCode="* #,##0.00&quot; &quot;;* (#,##0.00);* &quot;-&quot;#&quot; &quot;"/>
  </numFmts>
  <fonts count="26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2"/>
      <color indexed="8"/>
      <name val="Arial"/>
    </font>
    <font>
      <b val="1"/>
      <sz val="12"/>
      <color indexed="11"/>
      <name val="Arial"/>
    </font>
    <font>
      <b val="1"/>
      <sz val="10"/>
      <color indexed="8"/>
      <name val="Arial"/>
    </font>
    <font>
      <sz val="8"/>
      <color indexed="8"/>
      <name val="Tahoma"/>
    </font>
    <font>
      <sz val="10"/>
      <color indexed="8"/>
      <name val="Tahoma"/>
    </font>
    <font>
      <b val="1"/>
      <sz val="12"/>
      <color indexed="9"/>
      <name val="Tahoma"/>
    </font>
    <font>
      <b val="1"/>
      <sz val="10"/>
      <color indexed="8"/>
      <name val="Tahoma"/>
    </font>
    <font>
      <b val="1"/>
      <sz val="9"/>
      <color indexed="8"/>
      <name val="Franklin Gothic Medium"/>
    </font>
    <font>
      <b val="1"/>
      <sz val="10"/>
      <color indexed="9"/>
      <name val="Arial"/>
    </font>
    <font>
      <sz val="8"/>
      <color indexed="9"/>
      <name val="Arial"/>
    </font>
    <font>
      <sz val="10"/>
      <color indexed="14"/>
      <name val="Arial"/>
    </font>
    <font>
      <sz val="11"/>
      <color indexed="8"/>
      <name val="Helvetica Neue"/>
    </font>
    <font>
      <b val="1"/>
      <sz val="11"/>
      <color indexed="8"/>
      <name val="Arial"/>
    </font>
    <font>
      <vertAlign val="superscript"/>
      <sz val="10"/>
      <color indexed="8"/>
      <name val="Tahoma"/>
    </font>
    <font>
      <b val="1"/>
      <sz val="12"/>
      <color indexed="8"/>
      <name val="Franklin Gothic Medium"/>
    </font>
    <font>
      <b val="1"/>
      <sz val="9"/>
      <color indexed="9"/>
      <name val="Franklin Gothic Medium"/>
    </font>
    <font>
      <b val="1"/>
      <sz val="8"/>
      <color indexed="9"/>
      <name val="Franklin Gothic Medium"/>
    </font>
    <font>
      <b val="1"/>
      <sz val="8"/>
      <color indexed="8"/>
      <name val="Franklin Gothic Medium"/>
    </font>
    <font>
      <sz val="8"/>
      <color indexed="8"/>
      <name val="Franklin Gothic Book"/>
    </font>
    <font>
      <b val="1"/>
      <sz val="10"/>
      <color indexed="8"/>
      <name val="Franklin Gothic Medium"/>
    </font>
    <font>
      <b val="1"/>
      <sz val="9"/>
      <color indexed="19"/>
      <name val="Franklin Gothic Medium"/>
    </font>
    <font>
      <b val="1"/>
      <sz val="9"/>
      <color indexed="14"/>
      <name val="Franklin Gothic Medium"/>
    </font>
    <font>
      <b val="1"/>
      <sz val="9"/>
      <color indexed="21"/>
      <name val="Franklin Gothic Medium"/>
    </font>
  </fonts>
  <fills count="11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20"/>
        <bgColor auto="1"/>
      </patternFill>
    </fill>
  </fills>
  <borders count="78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 style="thin">
        <color indexed="8"/>
      </bottom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/>
      <top/>
      <bottom/>
      <diagonal/>
    </border>
    <border>
      <left/>
      <right style="hair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10"/>
      </left>
      <right style="thin">
        <color indexed="8"/>
      </right>
      <top/>
      <bottom style="thin">
        <color indexed="10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/>
      <right style="medium">
        <color indexed="8"/>
      </right>
      <top style="thin">
        <color indexed="10"/>
      </top>
      <bottom/>
      <diagonal/>
    </border>
    <border>
      <left/>
      <right style="medium">
        <color indexed="8"/>
      </right>
      <top/>
      <bottom/>
      <diagonal/>
    </border>
    <border>
      <left style="thin">
        <color indexed="10"/>
      </left>
      <right/>
      <top/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hair">
        <color indexed="8"/>
      </bottom>
      <diagonal/>
    </border>
    <border>
      <left style="thin">
        <color indexed="8"/>
      </left>
      <right style="medium">
        <color indexed="8"/>
      </right>
      <top/>
      <bottom style="hair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/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medium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10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10"/>
      </right>
      <top/>
      <bottom/>
      <diagonal/>
    </border>
    <border>
      <left style="thin">
        <color indexed="8"/>
      </left>
      <right style="thin">
        <color indexed="10"/>
      </right>
      <top/>
      <bottom/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6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0" fontId="0" fillId="2" borderId="4" applyNumberFormat="0" applyFont="1" applyFill="1" applyBorder="1" applyAlignment="1" applyProtection="0">
      <alignment vertical="bottom"/>
    </xf>
    <xf numFmtId="0" fontId="0" fillId="2" borderId="5" applyNumberFormat="0" applyFont="1" applyFill="1" applyBorder="1" applyAlignment="1" applyProtection="0">
      <alignment vertical="bottom"/>
    </xf>
    <xf numFmtId="0" fontId="0" fillId="2" borderId="6" applyNumberFormat="0" applyFont="1" applyFill="1" applyBorder="1" applyAlignment="1" applyProtection="0">
      <alignment horizontal="center" vertical="bottom"/>
    </xf>
    <xf numFmtId="49" fontId="3" fillId="2" borderId="7" applyNumberFormat="1" applyFont="1" applyFill="1" applyBorder="1" applyAlignment="1" applyProtection="0">
      <alignment horizontal="center" vertical="center" wrapText="1"/>
    </xf>
    <xf numFmtId="0" fontId="3" fillId="2" borderId="8" applyNumberFormat="0" applyFont="1" applyFill="1" applyBorder="1" applyAlignment="1" applyProtection="0">
      <alignment horizontal="center" vertical="center" wrapText="1"/>
    </xf>
    <xf numFmtId="0" fontId="4" fillId="2" borderId="9" applyNumberFormat="0" applyFont="1" applyFill="1" applyBorder="1" applyAlignment="1" applyProtection="0">
      <alignment horizontal="center" vertical="center" wrapText="1"/>
    </xf>
    <xf numFmtId="0" fontId="5" fillId="2" borderId="10" applyNumberFormat="0" applyFont="1" applyFill="1" applyBorder="1" applyAlignment="1" applyProtection="0">
      <alignment horizontal="left" vertical="center" wrapText="1"/>
    </xf>
    <xf numFmtId="0" fontId="0" fillId="2" borderId="10" applyNumberFormat="0" applyFont="1" applyFill="1" applyBorder="1" applyAlignment="1" applyProtection="0">
      <alignment vertical="bottom"/>
    </xf>
    <xf numFmtId="0" fontId="0" fillId="2" borderId="11" applyNumberFormat="0" applyFont="1" applyFill="1" applyBorder="1" applyAlignment="1" applyProtection="0">
      <alignment vertical="bottom"/>
    </xf>
    <xf numFmtId="0" fontId="0" fillId="2" borderId="12" applyNumberFormat="0" applyFont="1" applyFill="1" applyBorder="1" applyAlignment="1" applyProtection="0">
      <alignment vertical="bottom"/>
    </xf>
    <xf numFmtId="0" fontId="6" fillId="2" borderId="13" applyNumberFormat="0" applyFont="1" applyFill="1" applyBorder="1" applyAlignment="1" applyProtection="0">
      <alignment vertical="bottom"/>
    </xf>
    <xf numFmtId="0" fontId="7" fillId="2" borderId="13" applyNumberFormat="0" applyFont="1" applyFill="1" applyBorder="1" applyAlignment="1" applyProtection="0">
      <alignment horizontal="right" vertical="bottom"/>
    </xf>
    <xf numFmtId="49" fontId="6" fillId="2" borderId="13" applyNumberFormat="1" applyFont="1" applyFill="1" applyBorder="1" applyAlignment="1" applyProtection="0">
      <alignment vertical="bottom"/>
    </xf>
    <xf numFmtId="49" fontId="8" fillId="3" borderId="7" applyNumberFormat="1" applyFont="1" applyFill="1" applyBorder="1" applyAlignment="1" applyProtection="0">
      <alignment horizontal="center" vertical="center"/>
    </xf>
    <xf numFmtId="0" fontId="8" fillId="3" borderId="13" applyNumberFormat="0" applyFont="1" applyFill="1" applyBorder="1" applyAlignment="1" applyProtection="0">
      <alignment horizontal="center" vertical="center"/>
    </xf>
    <xf numFmtId="0" fontId="8" fillId="3" borderId="8" applyNumberFormat="0" applyFont="1" applyFill="1" applyBorder="1" applyAlignment="1" applyProtection="0">
      <alignment horizontal="center" vertical="center"/>
    </xf>
    <xf numFmtId="0" fontId="0" fillId="2" borderId="9" applyNumberFormat="0" applyFont="1" applyFill="1" applyBorder="1" applyAlignment="1" applyProtection="0">
      <alignment vertical="bottom"/>
    </xf>
    <xf numFmtId="0" fontId="0" fillId="2" borderId="14" applyNumberFormat="0" applyFont="1" applyFill="1" applyBorder="1" applyAlignment="1" applyProtection="0">
      <alignment vertical="bottom"/>
    </xf>
    <xf numFmtId="0" fontId="0" fillId="2" borderId="15" applyNumberFormat="0" applyFont="1" applyFill="1" applyBorder="1" applyAlignment="1" applyProtection="0">
      <alignment vertical="bottom"/>
    </xf>
    <xf numFmtId="0" fontId="0" fillId="2" borderId="13" applyNumberFormat="0" applyFont="1" applyFill="1" applyBorder="1" applyAlignment="1" applyProtection="0">
      <alignment vertical="bottom"/>
    </xf>
    <xf numFmtId="0" fontId="0" fillId="2" borderId="16" applyNumberFormat="0" applyFont="1" applyFill="1" applyBorder="1" applyAlignment="1" applyProtection="0">
      <alignment vertical="bottom"/>
    </xf>
    <xf numFmtId="0" fontId="9" fillId="2" borderId="9" applyNumberFormat="0" applyFont="1" applyFill="1" applyBorder="1" applyAlignment="1" applyProtection="0">
      <alignment vertical="bottom"/>
    </xf>
    <xf numFmtId="49" fontId="9" fillId="2" borderId="17" applyNumberFormat="1" applyFont="1" applyFill="1" applyBorder="1" applyAlignment="1" applyProtection="0">
      <alignment vertical="bottom"/>
    </xf>
    <xf numFmtId="49" fontId="0" fillId="2" borderId="6" applyNumberFormat="1" applyFont="1" applyFill="1" applyBorder="1" applyAlignment="1" applyProtection="0">
      <alignment vertical="bottom"/>
    </xf>
    <xf numFmtId="49" fontId="0" fillId="2" borderId="18" applyNumberFormat="1" applyFont="1" applyFill="1" applyBorder="1" applyAlignment="1" applyProtection="0">
      <alignment vertical="bottom"/>
    </xf>
    <xf numFmtId="0" fontId="9" fillId="2" borderId="10" applyNumberFormat="0" applyFont="1" applyFill="1" applyBorder="1" applyAlignment="1" applyProtection="0">
      <alignment vertical="bottom"/>
    </xf>
    <xf numFmtId="49" fontId="0" fillId="2" borderId="13" applyNumberFormat="1" applyFont="1" applyFill="1" applyBorder="1" applyAlignment="1" applyProtection="0">
      <alignment vertical="bottom"/>
    </xf>
    <xf numFmtId="49" fontId="0" fillId="2" borderId="17" applyNumberFormat="1" applyFont="1" applyFill="1" applyBorder="1" applyAlignment="1" applyProtection="0">
      <alignment vertical="bottom"/>
    </xf>
    <xf numFmtId="0" fontId="0" fillId="2" borderId="17" applyNumberFormat="0" applyFont="1" applyFill="1" applyBorder="1" applyAlignment="1" applyProtection="0">
      <alignment vertical="bottom"/>
    </xf>
    <xf numFmtId="0" fontId="10" fillId="2" borderId="18" applyNumberFormat="0" applyFont="1" applyFill="1" applyBorder="1" applyAlignment="1" applyProtection="0">
      <alignment vertical="bottom"/>
    </xf>
    <xf numFmtId="0" fontId="10" fillId="2" borderId="9" applyNumberFormat="0" applyFont="1" applyFill="1" applyBorder="1" applyAlignment="1" applyProtection="0">
      <alignment vertical="bottom"/>
    </xf>
    <xf numFmtId="0" fontId="10" fillId="2" borderId="10" applyNumberFormat="0" applyFont="1" applyFill="1" applyBorder="1" applyAlignment="1" applyProtection="0">
      <alignment vertical="bottom"/>
    </xf>
    <xf numFmtId="0" fontId="10" fillId="2" borderId="11" applyNumberFormat="0" applyFont="1" applyFill="1" applyBorder="1" applyAlignment="1" applyProtection="0">
      <alignment vertical="bottom"/>
    </xf>
    <xf numFmtId="0" fontId="0" fillId="2" borderId="18" applyNumberFormat="0" applyFont="1" applyFill="1" applyBorder="1" applyAlignment="1" applyProtection="0">
      <alignment vertical="bottom"/>
    </xf>
    <xf numFmtId="0" fontId="0" fillId="2" borderId="19" applyNumberFormat="0" applyFont="1" applyFill="1" applyBorder="1" applyAlignment="1" applyProtection="0">
      <alignment vertical="bottom"/>
    </xf>
    <xf numFmtId="0" fontId="0" fillId="2" borderId="20" applyNumberFormat="0" applyFont="1" applyFill="1" applyBorder="1" applyAlignment="1" applyProtection="0">
      <alignment vertical="bottom"/>
    </xf>
    <xf numFmtId="0" fontId="0" fillId="2" borderId="21" applyNumberFormat="0" applyFont="1" applyFill="1" applyBorder="1" applyAlignment="1" applyProtection="0">
      <alignment vertical="bottom"/>
    </xf>
    <xf numFmtId="0" fontId="8" fillId="3" borderId="22" applyNumberFormat="0" applyFont="1" applyFill="1" applyBorder="1" applyAlignment="1" applyProtection="0">
      <alignment horizontal="center" vertical="center"/>
    </xf>
    <xf numFmtId="2" fontId="0" fillId="2" borderId="10" applyNumberFormat="1" applyFont="1" applyFill="1" applyBorder="1" applyAlignment="1" applyProtection="0">
      <alignment vertical="bottom"/>
    </xf>
    <xf numFmtId="49" fontId="11" fillId="3" borderId="6" applyNumberFormat="1" applyFont="1" applyFill="1" applyBorder="1" applyAlignment="1" applyProtection="0">
      <alignment horizontal="left" vertical="bottom" wrapText="1"/>
    </xf>
    <xf numFmtId="0" fontId="11" fillId="3" borderId="6" applyNumberFormat="0" applyFont="1" applyFill="1" applyBorder="1" applyAlignment="1" applyProtection="0">
      <alignment horizontal="left" vertical="bottom" wrapText="1"/>
    </xf>
    <xf numFmtId="0" fontId="0" fillId="2" borderId="6" applyNumberFormat="0" applyFont="1" applyFill="1" applyBorder="1" applyAlignment="1" applyProtection="0">
      <alignment vertical="bottom"/>
    </xf>
    <xf numFmtId="2" fontId="0" fillId="4" borderId="23" applyNumberFormat="1" applyFont="1" applyFill="1" applyBorder="1" applyAlignment="1" applyProtection="0">
      <alignment horizontal="right" vertical="bottom"/>
    </xf>
    <xf numFmtId="49" fontId="11" fillId="3" borderId="7" applyNumberFormat="1" applyFont="1" applyFill="1" applyBorder="1" applyAlignment="1" applyProtection="0">
      <alignment horizontal="left" vertical="bottom" wrapText="1"/>
    </xf>
    <xf numFmtId="0" fontId="11" fillId="3" borderId="13" applyNumberFormat="0" applyFont="1" applyFill="1" applyBorder="1" applyAlignment="1" applyProtection="0">
      <alignment horizontal="left" vertical="bottom" wrapText="1"/>
    </xf>
    <xf numFmtId="0" fontId="11" fillId="3" borderId="8" applyNumberFormat="0" applyFont="1" applyFill="1" applyBorder="1" applyAlignment="1" applyProtection="0">
      <alignment horizontal="left" vertical="bottom" wrapText="1"/>
    </xf>
    <xf numFmtId="2" fontId="13" fillId="4" borderId="23" applyNumberFormat="1" applyFont="1" applyFill="1" applyBorder="1" applyAlignment="1" applyProtection="0">
      <alignment horizontal="right" vertical="bottom"/>
    </xf>
    <xf numFmtId="2" fontId="15" fillId="4" borderId="23" applyNumberFormat="1" applyFont="1" applyFill="1" applyBorder="1" applyAlignment="1" applyProtection="0">
      <alignment horizontal="right" vertical="bottom"/>
    </xf>
    <xf numFmtId="0" fontId="16" fillId="2" borderId="13" applyNumberFormat="0" applyFont="1" applyFill="1" applyBorder="1" applyAlignment="1" applyProtection="0">
      <alignment vertical="bottom"/>
    </xf>
    <xf numFmtId="0" fontId="0" fillId="2" borderId="24" applyNumberFormat="0" applyFont="1" applyFill="1" applyBorder="1" applyAlignment="1" applyProtection="0">
      <alignment vertical="bottom"/>
    </xf>
    <xf numFmtId="49" fontId="7" fillId="2" borderId="14" applyNumberFormat="1" applyFont="1" applyFill="1" applyBorder="1" applyAlignment="1" applyProtection="0">
      <alignment horizontal="left" vertical="center" wrapText="1"/>
    </xf>
    <xf numFmtId="14" fontId="7" fillId="2" borderId="15" applyNumberFormat="1" applyFont="1" applyFill="1" applyBorder="1" applyAlignment="1" applyProtection="0">
      <alignment horizontal="left" vertical="center"/>
    </xf>
    <xf numFmtId="14" fontId="7" fillId="2" borderId="25" applyNumberFormat="1" applyFont="1" applyFill="1" applyBorder="1" applyAlignment="1" applyProtection="0">
      <alignment horizontal="left" vertical="center"/>
    </xf>
    <xf numFmtId="0" fontId="0" fillId="2" borderId="26" applyNumberFormat="0" applyFont="1" applyFill="1" applyBorder="1" applyAlignment="1" applyProtection="0">
      <alignment vertical="bottom"/>
    </xf>
    <xf numFmtId="14" fontId="7" fillId="2" borderId="9" applyNumberFormat="1" applyFont="1" applyFill="1" applyBorder="1" applyAlignment="1" applyProtection="0">
      <alignment horizontal="left" vertical="center"/>
    </xf>
    <xf numFmtId="14" fontId="7" fillId="2" borderId="10" applyNumberFormat="1" applyFont="1" applyFill="1" applyBorder="1" applyAlignment="1" applyProtection="0">
      <alignment horizontal="left" vertical="center"/>
    </xf>
    <xf numFmtId="14" fontId="7" fillId="2" borderId="27" applyNumberFormat="1" applyFont="1" applyFill="1" applyBorder="1" applyAlignment="1" applyProtection="0">
      <alignment horizontal="left" vertical="center"/>
    </xf>
    <xf numFmtId="0" fontId="16" fillId="2" borderId="20" applyNumberFormat="0" applyFont="1" applyFill="1" applyBorder="1" applyAlignment="1" applyProtection="0">
      <alignment vertical="bottom"/>
    </xf>
    <xf numFmtId="49" fontId="9" fillId="2" borderId="28" applyNumberFormat="1" applyFont="1" applyFill="1" applyBorder="1" applyAlignment="1" applyProtection="0">
      <alignment horizontal="center" vertical="bottom"/>
    </xf>
    <xf numFmtId="49" fontId="9" fillId="2" borderId="6" applyNumberFormat="1" applyFont="1" applyFill="1" applyBorder="1" applyAlignment="1" applyProtection="0">
      <alignment horizontal="center" vertical="bottom"/>
    </xf>
    <xf numFmtId="49" fontId="9" fillId="2" borderId="6" applyNumberFormat="1" applyFont="1" applyFill="1" applyBorder="1" applyAlignment="1" applyProtection="0">
      <alignment vertical="bottom"/>
    </xf>
    <xf numFmtId="14" fontId="7" fillId="2" borderId="29" applyNumberFormat="1" applyFont="1" applyFill="1" applyBorder="1" applyAlignment="1" applyProtection="0">
      <alignment horizontal="center" vertical="center"/>
    </xf>
    <xf numFmtId="49" fontId="7" fillId="2" borderId="30" applyNumberFormat="1" applyFont="1" applyFill="1" applyBorder="1" applyAlignment="1" applyProtection="0">
      <alignment horizontal="center" vertical="center"/>
    </xf>
    <xf numFmtId="49" fontId="0" fillId="2" borderId="30" applyNumberFormat="1" applyFont="1" applyFill="1" applyBorder="1" applyAlignment="1" applyProtection="0">
      <alignment vertical="center" wrapText="1"/>
    </xf>
    <xf numFmtId="49" fontId="0" fillId="2" borderId="31" applyNumberFormat="1" applyFont="1" applyFill="1" applyBorder="1" applyAlignment="1" applyProtection="0">
      <alignment vertical="center"/>
    </xf>
    <xf numFmtId="0" fontId="7" fillId="2" borderId="32" applyNumberFormat="0" applyFont="1" applyFill="1" applyBorder="1" applyAlignment="1" applyProtection="0">
      <alignment horizontal="center" vertical="center"/>
    </xf>
    <xf numFmtId="0" fontId="0" fillId="2" borderId="30" applyNumberFormat="0" applyFont="1" applyFill="1" applyBorder="1" applyAlignment="1" applyProtection="0">
      <alignment vertical="center" wrapText="1"/>
    </xf>
    <xf numFmtId="0" fontId="0" fillId="2" borderId="31" applyNumberFormat="0" applyFont="1" applyFill="1" applyBorder="1" applyAlignment="1" applyProtection="0">
      <alignment vertical="center"/>
    </xf>
    <xf numFmtId="0" fontId="7" fillId="2" borderId="33" applyNumberFormat="0" applyFont="1" applyFill="1" applyBorder="1" applyAlignment="1" applyProtection="0">
      <alignment horizontal="center" vertical="center"/>
    </xf>
    <xf numFmtId="0" fontId="0" fillId="2" borderId="32" applyNumberFormat="0" applyFont="1" applyFill="1" applyBorder="1" applyAlignment="1" applyProtection="0">
      <alignment vertical="center" wrapText="1"/>
    </xf>
    <xf numFmtId="0" fontId="7" fillId="2" borderId="34" applyNumberFormat="0" applyFont="1" applyFill="1" applyBorder="1" applyAlignment="1" applyProtection="0">
      <alignment horizontal="left" vertical="top" wrapText="1"/>
    </xf>
    <xf numFmtId="0" fontId="0" fillId="2" borderId="33" applyNumberFormat="0" applyFont="1" applyFill="1" applyBorder="1" applyAlignment="1" applyProtection="0">
      <alignment vertical="center" wrapText="1"/>
    </xf>
    <xf numFmtId="0" fontId="0" fillId="2" borderId="34" applyNumberFormat="0" applyFont="1" applyFill="1" applyBorder="1" applyAlignment="1" applyProtection="0">
      <alignment vertical="center" wrapText="1"/>
    </xf>
    <xf numFmtId="0" fontId="0" fillId="2" borderId="35" applyNumberFormat="0" applyFont="1" applyFill="1" applyBorder="1" applyAlignment="1" applyProtection="0">
      <alignment vertical="center"/>
    </xf>
    <xf numFmtId="0" fontId="0" fillId="2" borderId="36" applyNumberFormat="0" applyFont="1" applyFill="1" applyBorder="1" applyAlignment="1" applyProtection="0">
      <alignment vertical="bottom"/>
    </xf>
    <xf numFmtId="0" fontId="7" fillId="2" borderId="37" applyNumberFormat="0" applyFont="1" applyFill="1" applyBorder="1" applyAlignment="1" applyProtection="0">
      <alignment horizontal="center" vertical="center"/>
    </xf>
    <xf numFmtId="0" fontId="7" fillId="2" borderId="34" applyNumberFormat="0" applyFont="1" applyFill="1" applyBorder="1" applyAlignment="1" applyProtection="0">
      <alignment horizontal="center" vertical="center"/>
    </xf>
    <xf numFmtId="0" fontId="0" fillId="2" borderId="34" applyNumberFormat="0" applyFont="1" applyFill="1" applyBorder="1" applyAlignment="1" applyProtection="0">
      <alignment vertical="center"/>
    </xf>
    <xf numFmtId="0" fontId="0" fillId="2" borderId="38" applyNumberFormat="0" applyFont="1" applyFill="1" applyBorder="1" applyAlignment="1" applyProtection="0">
      <alignment vertical="center"/>
    </xf>
    <xf numFmtId="0" fontId="0" fillId="2" borderId="39" applyNumberFormat="0" applyFont="1" applyFill="1" applyBorder="1" applyAlignment="1" applyProtection="0">
      <alignment vertical="bottom"/>
    </xf>
    <xf numFmtId="0" fontId="0" fillId="2" borderId="40" applyNumberFormat="0" applyFont="1" applyFill="1" applyBorder="1" applyAlignment="1" applyProtection="0">
      <alignment vertical="bottom"/>
    </xf>
    <xf numFmtId="0" fontId="0" fillId="2" borderId="41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6" applyNumberFormat="1" applyFont="1" applyFill="1" applyBorder="1" applyAlignment="1" applyProtection="0">
      <alignment horizontal="left" vertical="bottom"/>
    </xf>
    <xf numFmtId="0" fontId="0" fillId="2" borderId="6" applyNumberFormat="1" applyFont="1" applyFill="1" applyBorder="1" applyAlignment="1" applyProtection="0">
      <alignment horizontal="left" vertical="bottom" wrapText="1"/>
    </xf>
    <xf numFmtId="0" fontId="0" fillId="2" borderId="6" applyNumberFormat="1" applyFont="1" applyFill="1" applyBorder="1" applyAlignment="1" applyProtection="0">
      <alignment vertical="bottom"/>
    </xf>
    <xf numFmtId="49" fontId="17" fillId="2" borderId="1" applyNumberFormat="1" applyFont="1" applyFill="1" applyBorder="1" applyAlignment="1" applyProtection="0">
      <alignment horizontal="center" vertical="center"/>
    </xf>
    <xf numFmtId="0" fontId="17" fillId="2" borderId="3" applyNumberFormat="0" applyFont="1" applyFill="1" applyBorder="1" applyAlignment="1" applyProtection="0">
      <alignment horizontal="center" vertical="center"/>
    </xf>
    <xf numFmtId="0" fontId="17" fillId="2" borderId="42" applyNumberFormat="0" applyFont="1" applyFill="1" applyBorder="1" applyAlignment="1" applyProtection="0">
      <alignment horizontal="center" vertical="center"/>
    </xf>
    <xf numFmtId="0" fontId="17" fillId="2" borderId="12" applyNumberFormat="0" applyFont="1" applyFill="1" applyBorder="1" applyAlignment="1" applyProtection="0">
      <alignment horizontal="center" vertical="center"/>
    </xf>
    <xf numFmtId="0" fontId="17" fillId="2" borderId="10" applyNumberFormat="0" applyFont="1" applyFill="1" applyBorder="1" applyAlignment="1" applyProtection="0">
      <alignment horizontal="center" vertical="center"/>
    </xf>
    <xf numFmtId="0" fontId="17" fillId="2" borderId="43" applyNumberFormat="0" applyFont="1" applyFill="1" applyBorder="1" applyAlignment="1" applyProtection="0">
      <alignment horizontal="center" vertical="center"/>
    </xf>
    <xf numFmtId="0" fontId="17" fillId="2" borderId="44" applyNumberFormat="0" applyFont="1" applyFill="1" applyBorder="1" applyAlignment="1" applyProtection="0">
      <alignment horizontal="center" vertical="center"/>
    </xf>
    <xf numFmtId="0" fontId="17" fillId="2" borderId="20" applyNumberFormat="0" applyFont="1" applyFill="1" applyBorder="1" applyAlignment="1" applyProtection="0">
      <alignment horizontal="center" vertical="center"/>
    </xf>
    <xf numFmtId="49" fontId="18" fillId="5" borderId="6" applyNumberFormat="1" applyFont="1" applyFill="1" applyBorder="1" applyAlignment="1" applyProtection="0">
      <alignment horizontal="left" vertical="center"/>
    </xf>
    <xf numFmtId="0" fontId="18" fillId="5" borderId="6" applyNumberFormat="0" applyFont="1" applyFill="1" applyBorder="1" applyAlignment="1" applyProtection="0">
      <alignment horizontal="left" vertical="center"/>
    </xf>
    <xf numFmtId="49" fontId="18" fillId="5" borderId="7" applyNumberFormat="1" applyFont="1" applyFill="1" applyBorder="1" applyAlignment="1" applyProtection="0">
      <alignment vertical="center"/>
    </xf>
    <xf numFmtId="0" fontId="18" fillId="5" borderId="13" applyNumberFormat="0" applyFont="1" applyFill="1" applyBorder="1" applyAlignment="1" applyProtection="0">
      <alignment vertical="center"/>
    </xf>
    <xf numFmtId="0" fontId="18" fillId="5" borderId="13" applyNumberFormat="0" applyFont="1" applyFill="1" applyBorder="1" applyAlignment="1" applyProtection="0">
      <alignment horizontal="left" vertical="center"/>
    </xf>
    <xf numFmtId="0" fontId="18" fillId="5" borderId="8" applyNumberFormat="0" applyFont="1" applyFill="1" applyBorder="1" applyAlignment="1" applyProtection="0">
      <alignment vertical="center"/>
    </xf>
    <xf numFmtId="0" fontId="18" fillId="5" borderId="7" applyNumberFormat="0" applyFont="1" applyFill="1" applyBorder="1" applyAlignment="1" applyProtection="0">
      <alignment vertical="center"/>
    </xf>
    <xf numFmtId="2" fontId="18" fillId="5" borderId="8" applyNumberFormat="1" applyFont="1" applyFill="1" applyBorder="1" applyAlignment="1" applyProtection="0">
      <alignment vertical="center"/>
    </xf>
    <xf numFmtId="2" fontId="18" fillId="5" borderId="6" applyNumberFormat="1" applyFont="1" applyFill="1" applyBorder="1" applyAlignment="1" applyProtection="0">
      <alignment vertical="center"/>
    </xf>
    <xf numFmtId="0" fontId="18" fillId="5" borderId="9" applyNumberFormat="0" applyFont="1" applyFill="1" applyBorder="1" applyAlignment="1" applyProtection="0">
      <alignment horizontal="left" vertical="center"/>
    </xf>
    <xf numFmtId="0" fontId="18" fillId="5" borderId="17" applyNumberFormat="0" applyFont="1" applyFill="1" applyBorder="1" applyAlignment="1" applyProtection="0">
      <alignment horizontal="left" vertical="center"/>
    </xf>
    <xf numFmtId="49" fontId="18" fillId="5" borderId="6" applyNumberFormat="1" applyFont="1" applyFill="1" applyBorder="1" applyAlignment="1" applyProtection="0">
      <alignment vertical="center"/>
    </xf>
    <xf numFmtId="49" fontId="18" fillId="5" borderId="6" applyNumberFormat="1" applyFont="1" applyFill="1" applyBorder="1" applyAlignment="1" applyProtection="0">
      <alignment horizontal="center" vertical="center"/>
    </xf>
    <xf numFmtId="49" fontId="18" fillId="5" borderId="14" applyNumberFormat="1" applyFont="1" applyFill="1" applyBorder="1" applyAlignment="1" applyProtection="0">
      <alignment horizontal="center" vertical="center"/>
    </xf>
    <xf numFmtId="2" fontId="18" fillId="5" borderId="15" applyNumberFormat="1" applyFont="1" applyFill="1" applyBorder="1" applyAlignment="1" applyProtection="0">
      <alignment horizontal="center" vertical="center"/>
    </xf>
    <xf numFmtId="2" fontId="18" fillId="5" borderId="16" applyNumberFormat="1" applyFont="1" applyFill="1" applyBorder="1" applyAlignment="1" applyProtection="0">
      <alignment horizontal="center" vertical="center"/>
    </xf>
    <xf numFmtId="2" fontId="18" fillId="5" borderId="9" applyNumberFormat="1" applyFont="1" applyFill="1" applyBorder="1" applyAlignment="1" applyProtection="0">
      <alignment horizontal="left" vertical="center"/>
    </xf>
    <xf numFmtId="2" fontId="18" fillId="5" borderId="17" applyNumberFormat="1" applyFont="1" applyFill="1" applyBorder="1" applyAlignment="1" applyProtection="0">
      <alignment horizontal="left" vertical="center"/>
    </xf>
    <xf numFmtId="49" fontId="18" fillId="5" borderId="45" applyNumberFormat="1" applyFont="1" applyFill="1" applyBorder="1" applyAlignment="1" applyProtection="0">
      <alignment horizontal="left" vertical="center"/>
    </xf>
    <xf numFmtId="2" fontId="18" fillId="5" borderId="19" applyNumberFormat="1" applyFont="1" applyFill="1" applyBorder="1" applyAlignment="1" applyProtection="0">
      <alignment horizontal="center" vertical="center"/>
    </xf>
    <xf numFmtId="2" fontId="18" fillId="5" borderId="20" applyNumberFormat="1" applyFont="1" applyFill="1" applyBorder="1" applyAlignment="1" applyProtection="0">
      <alignment horizontal="center" vertical="center"/>
    </xf>
    <xf numFmtId="2" fontId="18" fillId="5" borderId="21" applyNumberFormat="1" applyFont="1" applyFill="1" applyBorder="1" applyAlignment="1" applyProtection="0">
      <alignment horizontal="center" vertical="center"/>
    </xf>
    <xf numFmtId="0" fontId="0" fillId="2" borderId="6" applyNumberFormat="1" applyFont="1" applyFill="1" applyBorder="1" applyAlignment="1" applyProtection="0">
      <alignment vertical="center"/>
    </xf>
    <xf numFmtId="49" fontId="19" fillId="3" borderId="28" applyNumberFormat="1" applyFont="1" applyFill="1" applyBorder="1" applyAlignment="1" applyProtection="0">
      <alignment horizontal="left" vertical="center" wrapText="1"/>
    </xf>
    <xf numFmtId="49" fontId="19" fillId="3" borderId="28" applyNumberFormat="1" applyFont="1" applyFill="1" applyBorder="1" applyAlignment="1" applyProtection="0">
      <alignment horizontal="left" vertical="center"/>
    </xf>
    <xf numFmtId="49" fontId="19" fillId="3" borderId="28" applyNumberFormat="1" applyFont="1" applyFill="1" applyBorder="1" applyAlignment="1" applyProtection="0">
      <alignment horizontal="center" vertical="center"/>
    </xf>
    <xf numFmtId="49" fontId="19" fillId="3" borderId="6" applyNumberFormat="1" applyFont="1" applyFill="1" applyBorder="1" applyAlignment="1" applyProtection="0">
      <alignment horizontal="center" vertical="center" wrapText="1"/>
    </xf>
    <xf numFmtId="49" fontId="19" fillId="3" borderId="28" applyNumberFormat="1" applyFont="1" applyFill="1" applyBorder="1" applyAlignment="1" applyProtection="0">
      <alignment horizontal="center" vertical="center" wrapText="1"/>
    </xf>
    <xf numFmtId="49" fontId="19" fillId="3" borderId="46" applyNumberFormat="1" applyFont="1" applyFill="1" applyBorder="1" applyAlignment="1" applyProtection="0">
      <alignment horizontal="center" vertical="center"/>
    </xf>
    <xf numFmtId="49" fontId="19" fillId="3" borderId="47" applyNumberFormat="1" applyFont="1" applyFill="1" applyBorder="1" applyAlignment="1" applyProtection="0">
      <alignment horizontal="center" vertical="center"/>
    </xf>
    <xf numFmtId="2" fontId="0" fillId="2" borderId="48" applyNumberFormat="1" applyFont="1" applyFill="1" applyBorder="1" applyAlignment="1" applyProtection="0">
      <alignment vertical="bottom"/>
    </xf>
    <xf numFmtId="49" fontId="20" fillId="6" borderId="33" applyNumberFormat="1" applyFont="1" applyFill="1" applyBorder="1" applyAlignment="1" applyProtection="0">
      <alignment horizontal="left" vertical="center"/>
    </xf>
    <xf numFmtId="49" fontId="20" fillId="6" borderId="33" applyNumberFormat="1" applyFont="1" applyFill="1" applyBorder="1" applyAlignment="1" applyProtection="0">
      <alignment horizontal="left" vertical="center" wrapText="1"/>
    </xf>
    <xf numFmtId="0" fontId="20" fillId="2" borderId="33" applyNumberFormat="0" applyFont="1" applyFill="1" applyBorder="1" applyAlignment="1" applyProtection="0">
      <alignment horizontal="center" vertical="center"/>
    </xf>
    <xf numFmtId="0" fontId="20" fillId="2" borderId="33" applyNumberFormat="0" applyFont="1" applyFill="1" applyBorder="1" applyAlignment="1" applyProtection="0">
      <alignment horizontal="left" vertical="center"/>
    </xf>
    <xf numFmtId="0" fontId="20" fillId="2" borderId="49" applyNumberFormat="0" applyFont="1" applyFill="1" applyBorder="1" applyAlignment="1" applyProtection="0">
      <alignment horizontal="left" vertical="center"/>
    </xf>
    <xf numFmtId="49" fontId="20" fillId="7" borderId="29" applyNumberFormat="1" applyFont="1" applyFill="1" applyBorder="1" applyAlignment="1" applyProtection="0">
      <alignment horizontal="center" vertical="center" wrapText="1"/>
    </xf>
    <xf numFmtId="49" fontId="20" fillId="7" borderId="33" applyNumberFormat="1" applyFont="1" applyFill="1" applyBorder="1" applyAlignment="1" applyProtection="0">
      <alignment horizontal="center" vertical="center"/>
    </xf>
    <xf numFmtId="49" fontId="20" fillId="7" borderId="33" applyNumberFormat="1" applyFont="1" applyFill="1" applyBorder="1" applyAlignment="1" applyProtection="0">
      <alignment horizontal="center" vertical="center" wrapText="1"/>
    </xf>
    <xf numFmtId="49" fontId="20" fillId="7" borderId="49" applyNumberFormat="1" applyFont="1" applyFill="1" applyBorder="1" applyAlignment="1" applyProtection="0">
      <alignment horizontal="center" vertical="center"/>
    </xf>
    <xf numFmtId="4" fontId="20" fillId="7" borderId="50" applyNumberFormat="1" applyFont="1" applyFill="1" applyBorder="1" applyAlignment="1" applyProtection="0">
      <alignment horizontal="center" vertical="center"/>
    </xf>
    <xf numFmtId="4" fontId="20" fillId="7" borderId="32" applyNumberFormat="1" applyFont="1" applyFill="1" applyBorder="1" applyAlignment="1" applyProtection="0">
      <alignment horizontal="center" vertical="center"/>
    </xf>
    <xf numFmtId="9" fontId="20" fillId="7" borderId="33" applyNumberFormat="1" applyFont="1" applyFill="1" applyBorder="1" applyAlignment="1" applyProtection="0">
      <alignment horizontal="center" vertical="center"/>
    </xf>
    <xf numFmtId="9" fontId="20" fillId="7" borderId="49" applyNumberFormat="1" applyFont="1" applyFill="1" applyBorder="1" applyAlignment="1" applyProtection="0">
      <alignment horizontal="center" vertical="center"/>
    </xf>
    <xf numFmtId="0" fontId="20" fillId="2" borderId="29" applyNumberFormat="0" applyFont="1" applyFill="1" applyBorder="1" applyAlignment="1" applyProtection="0">
      <alignment horizontal="left" vertical="center" wrapText="1"/>
    </xf>
    <xf numFmtId="0" fontId="20" fillId="2" borderId="51" applyNumberFormat="0" applyFont="1" applyFill="1" applyBorder="1" applyAlignment="1" applyProtection="0">
      <alignment horizontal="left" vertical="center" wrapText="1"/>
    </xf>
    <xf numFmtId="2" fontId="0" fillId="2" borderId="52" applyNumberFormat="1" applyFont="1" applyFill="1" applyBorder="1" applyAlignment="1" applyProtection="0">
      <alignment vertical="bottom"/>
    </xf>
    <xf numFmtId="49" fontId="20" fillId="8" borderId="33" applyNumberFormat="1" applyFont="1" applyFill="1" applyBorder="1" applyAlignment="1" applyProtection="0">
      <alignment horizontal="left" vertical="center"/>
    </xf>
    <xf numFmtId="49" fontId="20" fillId="8" borderId="33" applyNumberFormat="1" applyFont="1" applyFill="1" applyBorder="1" applyAlignment="1" applyProtection="0">
      <alignment horizontal="left" vertical="center" wrapText="1"/>
    </xf>
    <xf numFmtId="4" fontId="20" fillId="7" borderId="29" applyNumberFormat="1" applyFont="1" applyFill="1" applyBorder="1" applyAlignment="1" applyProtection="0">
      <alignment horizontal="center" vertical="center"/>
    </xf>
    <xf numFmtId="4" fontId="20" fillId="7" borderId="33" applyNumberFormat="1" applyFont="1" applyFill="1" applyBorder="1" applyAlignment="1" applyProtection="0">
      <alignment horizontal="center" vertical="center"/>
    </xf>
    <xf numFmtId="49" fontId="0" fillId="2" borderId="38" applyNumberFormat="1" applyFont="1" applyFill="1" applyBorder="1" applyAlignment="1" applyProtection="0">
      <alignment vertical="bottom" wrapText="1"/>
    </xf>
    <xf numFmtId="49" fontId="0" fillId="2" borderId="53" applyNumberFormat="1" applyFont="1" applyFill="1" applyBorder="1" applyAlignment="1" applyProtection="0">
      <alignment vertical="bottom"/>
    </xf>
    <xf numFmtId="0" fontId="0" fillId="2" borderId="53" applyNumberFormat="1" applyFont="1" applyFill="1" applyBorder="1" applyAlignment="1" applyProtection="0">
      <alignment vertical="bottom"/>
    </xf>
    <xf numFmtId="49" fontId="0" fillId="2" borderId="53" applyNumberFormat="1" applyFont="1" applyFill="1" applyBorder="1" applyAlignment="1" applyProtection="0">
      <alignment vertical="bottom" wrapText="1"/>
    </xf>
    <xf numFmtId="0" fontId="20" fillId="7" borderId="33" applyNumberFormat="1" applyFont="1" applyFill="1" applyBorder="1" applyAlignment="1" applyProtection="0">
      <alignment horizontal="center" vertical="center"/>
    </xf>
    <xf numFmtId="4" fontId="20" fillId="7" borderId="49" applyNumberFormat="1" applyFont="1" applyFill="1" applyBorder="1" applyAlignment="1" applyProtection="0">
      <alignment horizontal="center" vertical="center"/>
    </xf>
    <xf numFmtId="49" fontId="20" fillId="7" borderId="29" applyNumberFormat="1" applyFont="1" applyFill="1" applyBorder="1" applyAlignment="1" applyProtection="0">
      <alignment horizontal="center" vertical="center"/>
    </xf>
    <xf numFmtId="49" fontId="0" fillId="2" borderId="31" applyNumberFormat="1" applyFont="1" applyFill="1" applyBorder="1" applyAlignment="1" applyProtection="0">
      <alignment vertical="bottom" wrapText="1"/>
    </xf>
    <xf numFmtId="49" fontId="0" fillId="2" borderId="6" applyNumberFormat="1" applyFont="1" applyFill="1" applyBorder="1" applyAlignment="1" applyProtection="0">
      <alignment vertical="bottom" wrapText="1"/>
    </xf>
    <xf numFmtId="49" fontId="0" fillId="2" borderId="54" applyNumberFormat="1" applyFont="1" applyFill="1" applyBorder="1" applyAlignment="1" applyProtection="0">
      <alignment vertical="bottom" wrapText="1"/>
    </xf>
    <xf numFmtId="49" fontId="0" fillId="2" borderId="55" applyNumberFormat="1" applyFont="1" applyFill="1" applyBorder="1" applyAlignment="1" applyProtection="0">
      <alignment vertical="bottom"/>
    </xf>
    <xf numFmtId="49" fontId="0" fillId="2" borderId="55" applyNumberFormat="1" applyFont="1" applyFill="1" applyBorder="1" applyAlignment="1" applyProtection="0">
      <alignment vertical="bottom" wrapText="1"/>
    </xf>
    <xf numFmtId="49" fontId="0" fillId="2" borderId="26" applyNumberFormat="1" applyFont="1" applyFill="1" applyBorder="1" applyAlignment="1" applyProtection="0">
      <alignment vertical="bottom" wrapText="1"/>
    </xf>
    <xf numFmtId="49" fontId="0" fillId="2" borderId="8" applyNumberFormat="1" applyFont="1" applyFill="1" applyBorder="1" applyAlignment="1" applyProtection="0">
      <alignment vertical="bottom"/>
    </xf>
    <xf numFmtId="49" fontId="0" fillId="2" borderId="18" applyNumberFormat="1" applyFont="1" applyFill="1" applyBorder="1" applyAlignment="1" applyProtection="0">
      <alignment vertical="bottom" wrapText="1"/>
    </xf>
    <xf numFmtId="49" fontId="0" fillId="2" borderId="56" applyNumberFormat="1" applyFont="1" applyFill="1" applyBorder="1" applyAlignment="1" applyProtection="0">
      <alignment vertical="bottom" wrapText="1"/>
    </xf>
    <xf numFmtId="49" fontId="0" fillId="2" borderId="22" applyNumberFormat="1" applyFont="1" applyFill="1" applyBorder="1" applyAlignment="1" applyProtection="0">
      <alignment vertical="bottom"/>
    </xf>
    <xf numFmtId="49" fontId="0" fillId="2" borderId="28" applyNumberFormat="1" applyFont="1" applyFill="1" applyBorder="1" applyAlignment="1" applyProtection="0">
      <alignment vertical="bottom"/>
    </xf>
    <xf numFmtId="49" fontId="0" fillId="2" borderId="46" applyNumberFormat="1" applyFont="1" applyFill="1" applyBorder="1" applyAlignment="1" applyProtection="0">
      <alignment vertical="bottom"/>
    </xf>
    <xf numFmtId="49" fontId="0" fillId="2" borderId="46" applyNumberFormat="1" applyFont="1" applyFill="1" applyBorder="1" applyAlignment="1" applyProtection="0">
      <alignment vertical="bottom" wrapText="1"/>
    </xf>
    <xf numFmtId="0" fontId="0" fillId="2" borderId="33" applyNumberFormat="0" applyFont="1" applyFill="1" applyBorder="1" applyAlignment="1" applyProtection="0">
      <alignment horizontal="center" vertical="bottom"/>
    </xf>
    <xf numFmtId="0" fontId="20" fillId="2" borderId="33" applyNumberFormat="0" applyFont="1" applyFill="1" applyBorder="1" applyAlignment="1" applyProtection="0">
      <alignment horizontal="left" vertical="center" wrapText="1"/>
    </xf>
    <xf numFmtId="0" fontId="20" fillId="2" borderId="49" applyNumberFormat="0" applyFont="1" applyFill="1" applyBorder="1" applyAlignment="1" applyProtection="0">
      <alignment horizontal="left" vertical="center" wrapText="1"/>
    </xf>
    <xf numFmtId="0" fontId="21" fillId="2" borderId="33" applyNumberFormat="0" applyFont="1" applyFill="1" applyBorder="1" applyAlignment="1" applyProtection="0">
      <alignment horizontal="center" vertical="center"/>
    </xf>
    <xf numFmtId="0" fontId="21" fillId="2" borderId="33" applyNumberFormat="0" applyFont="1" applyFill="1" applyBorder="1" applyAlignment="1" applyProtection="0">
      <alignment horizontal="left" vertical="center" wrapText="1"/>
    </xf>
    <xf numFmtId="0" fontId="21" fillId="2" borderId="49" applyNumberFormat="0" applyFont="1" applyFill="1" applyBorder="1" applyAlignment="1" applyProtection="0">
      <alignment horizontal="left" vertical="center" wrapText="1"/>
    </xf>
    <xf numFmtId="0" fontId="20" fillId="7" borderId="29" applyNumberFormat="0" applyFont="1" applyFill="1" applyBorder="1" applyAlignment="1" applyProtection="0">
      <alignment horizontal="center" vertical="center" wrapText="1"/>
    </xf>
    <xf numFmtId="0" fontId="20" fillId="7" borderId="33" applyNumberFormat="0" applyFont="1" applyFill="1" applyBorder="1" applyAlignment="1" applyProtection="0">
      <alignment horizontal="center" vertical="center"/>
    </xf>
    <xf numFmtId="0" fontId="20" fillId="7" borderId="33" applyNumberFormat="0" applyFont="1" applyFill="1" applyBorder="1" applyAlignment="1" applyProtection="0">
      <alignment horizontal="center" vertical="center" wrapText="1"/>
    </xf>
    <xf numFmtId="9" fontId="20" fillId="7" borderId="29" applyNumberFormat="1" applyFont="1" applyFill="1" applyBorder="1" applyAlignment="1" applyProtection="0">
      <alignment horizontal="center" vertical="center"/>
    </xf>
    <xf numFmtId="9" fontId="20" fillId="7" borderId="57" applyNumberFormat="1" applyFont="1" applyFill="1" applyBorder="1" applyAlignment="1" applyProtection="0">
      <alignment horizontal="center" vertical="center"/>
    </xf>
    <xf numFmtId="9" fontId="20" fillId="7" borderId="10" applyNumberFormat="1" applyFont="1" applyFill="1" applyBorder="1" applyAlignment="1" applyProtection="0">
      <alignment horizontal="center" vertical="center"/>
    </xf>
    <xf numFmtId="2" fontId="0" fillId="2" borderId="58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17" fillId="2" borderId="59" applyNumberFormat="1" applyFont="1" applyFill="1" applyBorder="1" applyAlignment="1" applyProtection="0">
      <alignment horizontal="center" vertical="center"/>
    </xf>
    <xf numFmtId="0" fontId="17" fillId="2" borderId="59" applyNumberFormat="0" applyFont="1" applyFill="1" applyBorder="1" applyAlignment="1" applyProtection="0">
      <alignment horizontal="center" vertical="center"/>
    </xf>
    <xf numFmtId="0" fontId="17" fillId="2" borderId="60" applyNumberFormat="0" applyFont="1" applyFill="1" applyBorder="1" applyAlignment="1" applyProtection="0">
      <alignment horizontal="center" vertical="center"/>
    </xf>
    <xf numFmtId="0" fontId="22" fillId="2" borderId="2" applyNumberFormat="0" applyFont="1" applyFill="1" applyBorder="1" applyAlignment="1" applyProtection="0">
      <alignment horizontal="center" vertical="bottom"/>
    </xf>
    <xf numFmtId="49" fontId="23" fillId="4" borderId="61" applyNumberFormat="1" applyFont="1" applyFill="1" applyBorder="1" applyAlignment="1" applyProtection="0">
      <alignment horizontal="center" vertical="center" wrapText="1"/>
    </xf>
    <xf numFmtId="0" fontId="23" fillId="4" borderId="61" applyNumberFormat="0" applyFont="1" applyFill="1" applyBorder="1" applyAlignment="1" applyProtection="0">
      <alignment horizontal="center" vertical="center" wrapText="1"/>
    </xf>
    <xf numFmtId="0" fontId="23" fillId="4" borderId="62" applyNumberFormat="0" applyFont="1" applyFill="1" applyBorder="1" applyAlignment="1" applyProtection="0">
      <alignment horizontal="center" vertical="center" wrapText="1"/>
    </xf>
    <xf numFmtId="49" fontId="23" fillId="4" borderId="6" applyNumberFormat="1" applyFont="1" applyFill="1" applyBorder="1" applyAlignment="1" applyProtection="0">
      <alignment horizontal="center" vertical="center" wrapText="1"/>
    </xf>
    <xf numFmtId="0" fontId="23" fillId="4" borderId="6" applyNumberFormat="0" applyFont="1" applyFill="1" applyBorder="1" applyAlignment="1" applyProtection="0">
      <alignment horizontal="center" vertical="center" wrapText="1"/>
    </xf>
    <xf numFmtId="49" fontId="23" fillId="4" borderId="63" applyNumberFormat="1" applyFont="1" applyFill="1" applyBorder="1" applyAlignment="1" applyProtection="0">
      <alignment horizontal="center" vertical="center" wrapText="1"/>
    </xf>
    <xf numFmtId="4" fontId="0" fillId="2" borderId="52" applyNumberFormat="1" applyFont="1" applyFill="1" applyBorder="1" applyAlignment="1" applyProtection="0">
      <alignment vertical="bottom"/>
    </xf>
    <xf numFmtId="0" fontId="0" fillId="2" borderId="64" applyNumberFormat="0" applyFont="1" applyFill="1" applyBorder="1" applyAlignment="1" applyProtection="0">
      <alignment vertical="bottom"/>
    </xf>
    <xf numFmtId="49" fontId="23" fillId="4" borderId="62" applyNumberFormat="1" applyFont="1" applyFill="1" applyBorder="1" applyAlignment="1" applyProtection="0">
      <alignment horizontal="center" vertical="center" wrapText="1"/>
    </xf>
    <xf numFmtId="0" fontId="23" fillId="4" borderId="63" applyNumberFormat="0" applyFont="1" applyFill="1" applyBorder="1" applyAlignment="1" applyProtection="0">
      <alignment horizontal="center" vertical="center" wrapText="1"/>
    </xf>
    <xf numFmtId="0" fontId="0" fillId="2" borderId="52" applyNumberFormat="0" applyFont="1" applyFill="1" applyBorder="1" applyAlignment="1" applyProtection="0">
      <alignment vertical="bottom"/>
    </xf>
    <xf numFmtId="49" fontId="10" fillId="4" borderId="62" applyNumberFormat="1" applyFont="1" applyFill="1" applyBorder="1" applyAlignment="1" applyProtection="0">
      <alignment horizontal="left" vertical="center"/>
    </xf>
    <xf numFmtId="49" fontId="23" fillId="2" borderId="6" applyNumberFormat="1" applyFont="1" applyFill="1" applyBorder="1" applyAlignment="1" applyProtection="0">
      <alignment horizontal="left" vertical="center"/>
    </xf>
    <xf numFmtId="0" fontId="23" fillId="2" borderId="6" applyNumberFormat="0" applyFont="1" applyFill="1" applyBorder="1" applyAlignment="1" applyProtection="0">
      <alignment horizontal="left" vertical="center"/>
    </xf>
    <xf numFmtId="49" fontId="23" fillId="2" borderId="6" applyNumberFormat="1" applyFont="1" applyFill="1" applyBorder="1" applyAlignment="1" applyProtection="0">
      <alignment horizontal="center" vertical="center"/>
    </xf>
    <xf numFmtId="59" fontId="10" fillId="2" borderId="6" applyNumberFormat="1" applyFont="1" applyFill="1" applyBorder="1" applyAlignment="1" applyProtection="0">
      <alignment horizontal="center" vertical="center"/>
    </xf>
    <xf numFmtId="2" fontId="10" fillId="2" borderId="6" applyNumberFormat="1" applyFont="1" applyFill="1" applyBorder="1" applyAlignment="1" applyProtection="0">
      <alignment horizontal="center" vertical="center"/>
    </xf>
    <xf numFmtId="4" fontId="10" fillId="4" borderId="6" applyNumberFormat="1" applyFont="1" applyFill="1" applyBorder="1" applyAlignment="1" applyProtection="0">
      <alignment horizontal="center" vertical="center"/>
    </xf>
    <xf numFmtId="0" fontId="0" fillId="2" borderId="65" applyNumberFormat="0" applyFont="1" applyFill="1" applyBorder="1" applyAlignment="1" applyProtection="0">
      <alignment vertical="bottom"/>
    </xf>
    <xf numFmtId="49" fontId="23" fillId="2" borderId="6" applyNumberFormat="1" applyFont="1" applyFill="1" applyBorder="1" applyAlignment="1" applyProtection="0">
      <alignment horizontal="left" vertical="center" wrapText="1"/>
    </xf>
    <xf numFmtId="0" fontId="23" fillId="2" borderId="6" applyNumberFormat="0" applyFont="1" applyFill="1" applyBorder="1" applyAlignment="1" applyProtection="0">
      <alignment horizontal="left" vertical="center" wrapText="1"/>
    </xf>
    <xf numFmtId="49" fontId="23" fillId="2" borderId="7" applyNumberFormat="1" applyFont="1" applyFill="1" applyBorder="1" applyAlignment="1" applyProtection="0">
      <alignment horizontal="left" vertical="center" wrapText="1"/>
    </xf>
    <xf numFmtId="0" fontId="23" fillId="2" borderId="13" applyNumberFormat="0" applyFont="1" applyFill="1" applyBorder="1" applyAlignment="1" applyProtection="0">
      <alignment horizontal="left" vertical="center" wrapText="1"/>
    </xf>
    <xf numFmtId="0" fontId="23" fillId="2" borderId="8" applyNumberFormat="0" applyFont="1" applyFill="1" applyBorder="1" applyAlignment="1" applyProtection="0">
      <alignment horizontal="left" vertical="center" wrapText="1"/>
    </xf>
    <xf numFmtId="49" fontId="23" fillId="2" borderId="7" applyNumberFormat="1" applyFont="1" applyFill="1" applyBorder="1" applyAlignment="1" applyProtection="0">
      <alignment horizontal="left" vertical="center"/>
    </xf>
    <xf numFmtId="0" fontId="23" fillId="2" borderId="13" applyNumberFormat="0" applyFont="1" applyFill="1" applyBorder="1" applyAlignment="1" applyProtection="0">
      <alignment horizontal="left" vertical="center"/>
    </xf>
    <xf numFmtId="0" fontId="23" fillId="2" borderId="8" applyNumberFormat="0" applyFont="1" applyFill="1" applyBorder="1" applyAlignment="1" applyProtection="0">
      <alignment horizontal="left" vertical="center"/>
    </xf>
    <xf numFmtId="49" fontId="10" fillId="9" borderId="62" applyNumberFormat="1" applyFont="1" applyFill="1" applyBorder="1" applyAlignment="1" applyProtection="0">
      <alignment horizontal="left" vertical="center"/>
    </xf>
    <xf numFmtId="49" fontId="24" fillId="2" borderId="6" applyNumberFormat="1" applyFont="1" applyFill="1" applyBorder="1" applyAlignment="1" applyProtection="0">
      <alignment horizontal="left" vertical="center"/>
    </xf>
    <xf numFmtId="0" fontId="24" fillId="2" borderId="6" applyNumberFormat="0" applyFont="1" applyFill="1" applyBorder="1" applyAlignment="1" applyProtection="0">
      <alignment horizontal="left" vertical="center"/>
    </xf>
    <xf numFmtId="49" fontId="24" fillId="2" borderId="6" applyNumberFormat="1" applyFont="1" applyFill="1" applyBorder="1" applyAlignment="1" applyProtection="0">
      <alignment horizontal="left" vertical="center" wrapText="1"/>
    </xf>
    <xf numFmtId="49" fontId="24" fillId="2" borderId="6" applyNumberFormat="1" applyFont="1" applyFill="1" applyBorder="1" applyAlignment="1" applyProtection="0">
      <alignment horizontal="center" vertical="center"/>
    </xf>
    <xf numFmtId="59" fontId="24" fillId="2" borderId="6" applyNumberFormat="1" applyFont="1" applyFill="1" applyBorder="1" applyAlignment="1" applyProtection="0">
      <alignment horizontal="center" vertical="center"/>
    </xf>
    <xf numFmtId="2" fontId="24" fillId="2" borderId="6" applyNumberFormat="1" applyFont="1" applyFill="1" applyBorder="1" applyAlignment="1" applyProtection="0">
      <alignment horizontal="center" vertical="center"/>
    </xf>
    <xf numFmtId="4" fontId="24" fillId="10" borderId="6" applyNumberFormat="1" applyFont="1" applyFill="1" applyBorder="1" applyAlignment="1" applyProtection="0">
      <alignment horizontal="center" vertical="center"/>
    </xf>
    <xf numFmtId="4" fontId="24" fillId="10" borderId="63" applyNumberFormat="1" applyFont="1" applyFill="1" applyBorder="1" applyAlignment="1" applyProtection="0">
      <alignment horizontal="center" vertical="center"/>
    </xf>
    <xf numFmtId="4" fontId="24" fillId="10" borderId="66" applyNumberFormat="1" applyFont="1" applyFill="1" applyBorder="1" applyAlignment="1" applyProtection="0">
      <alignment horizontal="center" vertical="center"/>
    </xf>
    <xf numFmtId="49" fontId="0" fillId="2" borderId="10" applyNumberFormat="1" applyFont="1" applyFill="1" applyBorder="1" applyAlignment="1" applyProtection="0">
      <alignment vertical="bottom"/>
    </xf>
    <xf numFmtId="0" fontId="10" fillId="10" borderId="62" applyNumberFormat="0" applyFont="1" applyFill="1" applyBorder="1" applyAlignment="1" applyProtection="0">
      <alignment horizontal="left" vertical="center"/>
    </xf>
    <xf numFmtId="4" fontId="10" fillId="10" borderId="6" applyNumberFormat="1" applyFont="1" applyFill="1" applyBorder="1" applyAlignment="1" applyProtection="0">
      <alignment horizontal="center" vertical="center"/>
    </xf>
    <xf numFmtId="4" fontId="10" fillId="10" borderId="63" applyNumberFormat="1" applyFont="1" applyFill="1" applyBorder="1" applyAlignment="1" applyProtection="0">
      <alignment horizontal="center" vertical="center"/>
    </xf>
    <xf numFmtId="4" fontId="10" fillId="10" borderId="67" applyNumberFormat="1" applyFont="1" applyFill="1" applyBorder="1" applyAlignment="1" applyProtection="0">
      <alignment horizontal="center" vertical="center"/>
    </xf>
    <xf numFmtId="0" fontId="10" fillId="2" borderId="66" applyNumberFormat="0" applyFont="1" applyFill="1" applyBorder="1" applyAlignment="1" applyProtection="0">
      <alignment horizontal="left" vertical="center"/>
    </xf>
    <xf numFmtId="0" fontId="23" fillId="2" borderId="13" applyNumberFormat="0" applyFont="1" applyFill="1" applyBorder="1" applyAlignment="1" applyProtection="0">
      <alignment horizontal="center" vertical="bottom"/>
    </xf>
    <xf numFmtId="60" fontId="10" fillId="2" borderId="13" applyNumberFormat="1" applyFont="1" applyFill="1" applyBorder="1" applyAlignment="1" applyProtection="0">
      <alignment horizontal="right" vertical="bottom"/>
    </xf>
    <xf numFmtId="2" fontId="10" fillId="2" borderId="13" applyNumberFormat="1" applyFont="1" applyFill="1" applyBorder="1" applyAlignment="1" applyProtection="0">
      <alignment horizontal="center" vertical="bottom"/>
    </xf>
    <xf numFmtId="2" fontId="10" fillId="2" borderId="68" applyNumberFormat="1" applyFont="1" applyFill="1" applyBorder="1" applyAlignment="1" applyProtection="0">
      <alignment vertical="bottom"/>
    </xf>
    <xf numFmtId="2" fontId="10" fillId="2" borderId="69" applyNumberFormat="1" applyFont="1" applyFill="1" applyBorder="1" applyAlignment="1" applyProtection="0">
      <alignment vertical="bottom"/>
    </xf>
    <xf numFmtId="0" fontId="23" fillId="4" borderId="69" applyNumberFormat="0" applyFont="1" applyFill="1" applyBorder="1" applyAlignment="1" applyProtection="0">
      <alignment horizontal="center" vertical="center" wrapText="1"/>
    </xf>
    <xf numFmtId="49" fontId="25" fillId="4" borderId="70" applyNumberFormat="1" applyFont="1" applyFill="1" applyBorder="1" applyAlignment="1" applyProtection="0">
      <alignment horizontal="left" vertical="center"/>
    </xf>
    <xf numFmtId="2" fontId="25" fillId="2" borderId="6" applyNumberFormat="1" applyFont="1" applyFill="1" applyBorder="1" applyAlignment="1" applyProtection="0">
      <alignment horizontal="center" vertical="center"/>
    </xf>
    <xf numFmtId="3" fontId="10" fillId="4" borderId="6" applyNumberFormat="1" applyFont="1" applyFill="1" applyBorder="1" applyAlignment="1" applyProtection="0">
      <alignment horizontal="center" vertical="bottom"/>
    </xf>
    <xf numFmtId="4" fontId="10" fillId="4" borderId="63" applyNumberFormat="1" applyFont="1" applyFill="1" applyBorder="1" applyAlignment="1" applyProtection="0">
      <alignment horizontal="center" vertical="bottom"/>
    </xf>
    <xf numFmtId="4" fontId="10" fillId="4" borderId="69" applyNumberFormat="1" applyFont="1" applyFill="1" applyBorder="1" applyAlignment="1" applyProtection="0">
      <alignment horizontal="center" vertical="bottom"/>
    </xf>
    <xf numFmtId="49" fontId="25" fillId="4" borderId="71" applyNumberFormat="1" applyFont="1" applyFill="1" applyBorder="1" applyAlignment="1" applyProtection="0">
      <alignment horizontal="left" vertical="center"/>
    </xf>
    <xf numFmtId="49" fontId="23" fillId="2" borderId="72" applyNumberFormat="1" applyFont="1" applyFill="1" applyBorder="1" applyAlignment="1" applyProtection="0">
      <alignment horizontal="left" vertical="center" wrapText="1"/>
    </xf>
    <xf numFmtId="0" fontId="23" fillId="2" borderId="72" applyNumberFormat="0" applyFont="1" applyFill="1" applyBorder="1" applyAlignment="1" applyProtection="0">
      <alignment horizontal="left" vertical="center" wrapText="1"/>
    </xf>
    <xf numFmtId="49" fontId="23" fillId="2" borderId="72" applyNumberFormat="1" applyFont="1" applyFill="1" applyBorder="1" applyAlignment="1" applyProtection="0">
      <alignment horizontal="left" vertical="center"/>
    </xf>
    <xf numFmtId="49" fontId="23" fillId="2" borderId="72" applyNumberFormat="1" applyFont="1" applyFill="1" applyBorder="1" applyAlignment="1" applyProtection="0">
      <alignment horizontal="center" vertical="center"/>
    </xf>
    <xf numFmtId="2" fontId="25" fillId="2" borderId="72" applyNumberFormat="1" applyFont="1" applyFill="1" applyBorder="1" applyAlignment="1" applyProtection="0">
      <alignment horizontal="center" vertical="center"/>
    </xf>
    <xf numFmtId="3" fontId="10" fillId="4" borderId="72" applyNumberFormat="1" applyFont="1" applyFill="1" applyBorder="1" applyAlignment="1" applyProtection="0">
      <alignment horizontal="center" vertical="bottom"/>
    </xf>
    <xf numFmtId="4" fontId="10" fillId="4" borderId="73" applyNumberFormat="1" applyFont="1" applyFill="1" applyBorder="1" applyAlignment="1" applyProtection="0">
      <alignment horizontal="center" vertical="bottom"/>
    </xf>
    <xf numFmtId="49" fontId="25" fillId="4" borderId="74" applyNumberFormat="1" applyFont="1" applyFill="1" applyBorder="1" applyAlignment="1" applyProtection="0">
      <alignment horizontal="left" vertical="center"/>
    </xf>
    <xf numFmtId="49" fontId="23" fillId="2" borderId="75" applyNumberFormat="1" applyFont="1" applyFill="1" applyBorder="1" applyAlignment="1" applyProtection="0">
      <alignment horizontal="left" vertical="center"/>
    </xf>
    <xf numFmtId="0" fontId="23" fillId="2" borderId="75" applyNumberFormat="0" applyFont="1" applyFill="1" applyBorder="1" applyAlignment="1" applyProtection="0">
      <alignment horizontal="left" vertical="center"/>
    </xf>
    <xf numFmtId="49" fontId="23" fillId="2" borderId="75" applyNumberFormat="1" applyFont="1" applyFill="1" applyBorder="1" applyAlignment="1" applyProtection="0">
      <alignment horizontal="center" vertical="center"/>
    </xf>
    <xf numFmtId="2" fontId="25" fillId="2" borderId="75" applyNumberFormat="1" applyFont="1" applyFill="1" applyBorder="1" applyAlignment="1" applyProtection="0">
      <alignment horizontal="center" vertical="center"/>
    </xf>
    <xf numFmtId="3" fontId="10" fillId="4" borderId="75" applyNumberFormat="1" applyFont="1" applyFill="1" applyBorder="1" applyAlignment="1" applyProtection="0">
      <alignment horizontal="center" vertical="bottom"/>
    </xf>
    <xf numFmtId="4" fontId="10" fillId="4" borderId="76" applyNumberFormat="1" applyFont="1" applyFill="1" applyBorder="1" applyAlignment="1" applyProtection="0">
      <alignment horizontal="center" vertical="bottom"/>
    </xf>
    <xf numFmtId="49" fontId="25" fillId="4" borderId="62" applyNumberFormat="1" applyFont="1" applyFill="1" applyBorder="1" applyAlignment="1" applyProtection="0">
      <alignment horizontal="left" vertical="center"/>
    </xf>
    <xf numFmtId="0" fontId="23" fillId="2" borderId="72" applyNumberFormat="0" applyFont="1" applyFill="1" applyBorder="1" applyAlignment="1" applyProtection="0">
      <alignment horizontal="left" vertical="center"/>
    </xf>
    <xf numFmtId="0" fontId="25" fillId="4" borderId="62" applyNumberFormat="0" applyFont="1" applyFill="1" applyBorder="1" applyAlignment="1" applyProtection="0">
      <alignment horizontal="left" vertical="center"/>
    </xf>
    <xf numFmtId="0" fontId="25" fillId="4" borderId="70" applyNumberFormat="0" applyFont="1" applyFill="1" applyBorder="1" applyAlignment="1" applyProtection="0">
      <alignment horizontal="center" vertical="bottom"/>
    </xf>
    <xf numFmtId="4" fontId="10" fillId="4" borderId="77" applyNumberFormat="1" applyFont="1" applyFill="1" applyBorder="1" applyAlignment="1" applyProtection="0">
      <alignment horizontal="center" vertical="bottom"/>
    </xf>
    <xf numFmtId="49" fontId="0" fillId="2" borderId="40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4f81bd"/>
      <rgbColor rgb="ff3b608d"/>
      <rgbColor rgb="ffd2dae4"/>
      <rgbColor rgb="ffff0000"/>
      <rgbColor rgb="ff1f497d"/>
      <rgbColor rgb="ff00b050"/>
      <rgbColor rgb="ffa5b6ca"/>
      <rgbColor rgb="ff00b0f0"/>
      <rgbColor rgb="ff0000ff"/>
      <rgbColor rgb="ffc0c0c0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1</xdr:col>
      <xdr:colOff>381000</xdr:colOff>
      <xdr:row>1</xdr:row>
      <xdr:rowOff>201706</xdr:rowOff>
    </xdr:from>
    <xdr:to>
      <xdr:col>2</xdr:col>
      <xdr:colOff>844731</xdr:colOff>
      <xdr:row>1</xdr:row>
      <xdr:rowOff>525967</xdr:rowOff>
    </xdr:to>
    <xdr:pic>
      <xdr:nvPicPr>
        <xdr:cNvPr id="3" name="Imagem 1" descr="Imagem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2755900" y="366806"/>
          <a:ext cx="1619431" cy="32426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2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57150</xdr:colOff>
      <xdr:row>0</xdr:row>
      <xdr:rowOff>85725</xdr:rowOff>
    </xdr:from>
    <xdr:to>
      <xdr:col>1</xdr:col>
      <xdr:colOff>154633</xdr:colOff>
      <xdr:row>2</xdr:row>
      <xdr:rowOff>69047</xdr:rowOff>
    </xdr:to>
    <xdr:pic>
      <xdr:nvPicPr>
        <xdr:cNvPr id="18" name="Imagem 1" descr="Imagem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57150" y="85725"/>
          <a:ext cx="1672284" cy="31352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3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/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Tema do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Tema do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o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omments" Target="../comments1.xml"/></Relationships>
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vmlDrawing" Target="../drawings/vmlDrawing2.vml"/><Relationship Id="rId3" Type="http://schemas.openxmlformats.org/officeDocument/2006/relationships/comments" Target="../comments2.xml"/></Relationships>
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vmlDrawing" Target="../drawings/vmlDrawing3.vml"/><Relationship Id="rId3" Type="http://schemas.openxmlformats.org/officeDocument/2006/relationships/comments" Target="../comments3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I52"/>
  <sheetViews>
    <sheetView workbookViewId="0" showGridLines="0" defaultGridColor="1"/>
  </sheetViews>
  <sheetFormatPr defaultColWidth="9.16667" defaultRowHeight="13" customHeight="1" outlineLevelRow="0" outlineLevelCol="0"/>
  <cols>
    <col min="1" max="1" width="31.1719" style="1" customWidth="1"/>
    <col min="2" max="2" width="15.1719" style="1" customWidth="1"/>
    <col min="3" max="3" width="20.5" style="1" customWidth="1"/>
    <col min="4" max="4" width="35" style="1" customWidth="1"/>
    <col min="5" max="5" width="38.5" style="1" customWidth="1"/>
    <col min="6" max="9" width="9.17188" style="1" customWidth="1"/>
    <col min="10" max="16384" width="9.17188" style="1" customWidth="1"/>
  </cols>
  <sheetData>
    <row r="1" ht="13" customHeight="1">
      <c r="A1" s="2"/>
      <c r="B1" s="3"/>
      <c r="C1" s="3"/>
      <c r="D1" s="3"/>
      <c r="E1" s="3"/>
      <c r="F1" s="4"/>
      <c r="G1" s="4"/>
      <c r="H1" s="4"/>
      <c r="I1" s="5"/>
    </row>
    <row r="2" ht="51" customHeight="1">
      <c r="A2" s="6"/>
      <c r="B2" s="7"/>
      <c r="C2" s="7"/>
      <c r="D2" t="s" s="8">
        <v>0</v>
      </c>
      <c r="E2" s="9"/>
      <c r="F2" s="10"/>
      <c r="G2" s="11"/>
      <c r="H2" s="12"/>
      <c r="I2" s="13"/>
    </row>
    <row r="3" ht="13" customHeight="1">
      <c r="A3" s="14"/>
      <c r="B3" s="15"/>
      <c r="C3" s="15"/>
      <c r="D3" s="16"/>
      <c r="E3" t="s" s="17">
        <v>1</v>
      </c>
      <c r="F3" s="12"/>
      <c r="G3" s="12"/>
      <c r="H3" s="12"/>
      <c r="I3" s="13"/>
    </row>
    <row r="4" ht="15" customHeight="1">
      <c r="A4" s="6"/>
      <c r="B4" t="s" s="18">
        <v>2</v>
      </c>
      <c r="C4" s="19"/>
      <c r="D4" s="19"/>
      <c r="E4" s="20"/>
      <c r="F4" s="21"/>
      <c r="G4" s="12"/>
      <c r="H4" s="12"/>
      <c r="I4" s="13"/>
    </row>
    <row r="5" ht="13" customHeight="1">
      <c r="A5" s="6"/>
      <c r="B5" s="22"/>
      <c r="C5" s="23"/>
      <c r="D5" s="24"/>
      <c r="E5" s="25"/>
      <c r="F5" s="21"/>
      <c r="G5" s="12"/>
      <c r="H5" s="12"/>
      <c r="I5" s="13"/>
    </row>
    <row r="6" ht="13" customHeight="1">
      <c r="A6" s="6"/>
      <c r="B6" s="26"/>
      <c r="C6" t="s" s="27">
        <v>3</v>
      </c>
      <c r="D6" t="s" s="28">
        <v>4</v>
      </c>
      <c r="E6" s="29"/>
      <c r="F6" s="21"/>
      <c r="G6" s="12"/>
      <c r="H6" s="12"/>
      <c r="I6" s="13"/>
    </row>
    <row r="7" ht="13" customHeight="1">
      <c r="A7" s="6"/>
      <c r="B7" s="26"/>
      <c r="C7" s="30"/>
      <c r="D7" s="31"/>
      <c r="E7" s="32"/>
      <c r="F7" s="21"/>
      <c r="G7" s="12"/>
      <c r="H7" s="12"/>
      <c r="I7" s="13"/>
    </row>
    <row r="8" ht="13" customHeight="1">
      <c r="A8" s="6"/>
      <c r="B8" s="26"/>
      <c r="C8" t="s" s="27">
        <v>5</v>
      </c>
      <c r="D8" t="s" s="28">
        <v>6</v>
      </c>
      <c r="E8" s="29"/>
      <c r="F8" s="21"/>
      <c r="G8" s="12"/>
      <c r="H8" s="12"/>
      <c r="I8" s="13"/>
    </row>
    <row r="9" ht="13" customHeight="1">
      <c r="A9" s="6"/>
      <c r="B9" s="26"/>
      <c r="C9" s="30"/>
      <c r="D9" s="31"/>
      <c r="E9" s="32"/>
      <c r="F9" s="21"/>
      <c r="G9" s="12"/>
      <c r="H9" s="12"/>
      <c r="I9" s="13"/>
    </row>
    <row r="10" ht="13" customHeight="1">
      <c r="A10" s="6"/>
      <c r="B10" s="26"/>
      <c r="C10" t="s" s="27">
        <v>7</v>
      </c>
      <c r="D10" t="s" s="28">
        <v>8</v>
      </c>
      <c r="E10" s="29"/>
      <c r="F10" s="21"/>
      <c r="G10" s="12"/>
      <c r="H10" s="12"/>
      <c r="I10" s="13"/>
    </row>
    <row r="11" ht="13" customHeight="1">
      <c r="A11" s="6"/>
      <c r="B11" s="26"/>
      <c r="C11" s="30"/>
      <c r="D11" s="24"/>
      <c r="E11" s="33"/>
      <c r="F11" s="21"/>
      <c r="G11" s="12"/>
      <c r="H11" s="12"/>
      <c r="I11" s="13"/>
    </row>
    <row r="12" ht="13" customHeight="1">
      <c r="A12" s="6"/>
      <c r="B12" s="26"/>
      <c r="C12" t="s" s="27">
        <v>9</v>
      </c>
      <c r="D12" t="s" s="28">
        <v>10</v>
      </c>
      <c r="E12" s="34"/>
      <c r="F12" s="35"/>
      <c r="G12" s="36"/>
      <c r="H12" s="36"/>
      <c r="I12" s="37"/>
    </row>
    <row r="13" ht="13" customHeight="1">
      <c r="A13" s="6"/>
      <c r="B13" s="26"/>
      <c r="C13" s="30"/>
      <c r="D13" s="24"/>
      <c r="E13" s="33"/>
      <c r="F13" s="21"/>
      <c r="G13" s="12"/>
      <c r="H13" s="12"/>
      <c r="I13" s="13"/>
    </row>
    <row r="14" ht="13" customHeight="1">
      <c r="A14" s="6"/>
      <c r="B14" s="26"/>
      <c r="C14" t="s" s="27">
        <v>11</v>
      </c>
      <c r="D14" t="s" s="28">
        <v>12</v>
      </c>
      <c r="E14" s="38"/>
      <c r="F14" s="21"/>
      <c r="G14" s="12"/>
      <c r="H14" s="12"/>
      <c r="I14" s="13"/>
    </row>
    <row r="15" ht="13" customHeight="1">
      <c r="A15" s="6"/>
      <c r="B15" s="39"/>
      <c r="C15" s="40"/>
      <c r="D15" s="24"/>
      <c r="E15" s="41"/>
      <c r="F15" s="21"/>
      <c r="G15" s="12"/>
      <c r="H15" s="12"/>
      <c r="I15" s="13"/>
    </row>
    <row r="16" ht="15" customHeight="1">
      <c r="A16" s="6"/>
      <c r="B16" t="s" s="18">
        <v>13</v>
      </c>
      <c r="C16" s="19"/>
      <c r="D16" s="19"/>
      <c r="E16" s="42"/>
      <c r="F16" s="21"/>
      <c r="G16" s="12"/>
      <c r="H16" s="43"/>
      <c r="I16" s="13"/>
    </row>
    <row r="17" ht="12.75" customHeight="1">
      <c r="A17" s="6"/>
      <c r="B17" t="s" s="44">
        <v>14</v>
      </c>
      <c r="C17" s="45"/>
      <c r="D17" s="46"/>
      <c r="E17" s="47">
        <f>SUM('Deflatores Sisp'!$J$4:$J$38)</f>
        <v>105</v>
      </c>
      <c r="F17" s="21"/>
      <c r="G17" s="12"/>
      <c r="H17" s="12"/>
      <c r="I17" s="13"/>
    </row>
    <row r="18" ht="12.75" customHeight="1">
      <c r="A18" s="6"/>
      <c r="B18" t="s" s="48">
        <v>15</v>
      </c>
      <c r="C18" s="49"/>
      <c r="D18" s="50"/>
      <c r="E18" s="47">
        <f>SUMIF('Deflatores Sisp'!$M$4:$M$38,"CORRETIVA",'Deflatores Sisp'!$K$4:$K$38)</f>
        <v>0</v>
      </c>
      <c r="F18" s="21"/>
      <c r="G18" s="12"/>
      <c r="H18" s="12"/>
      <c r="I18" s="13"/>
    </row>
    <row r="19" ht="12.75" customHeight="1">
      <c r="A19" s="6"/>
      <c r="B19" t="s" s="48">
        <v>16</v>
      </c>
      <c r="C19" s="49"/>
      <c r="D19" s="50"/>
      <c r="E19" s="47">
        <f>SUMIF('Deflatores Sisp'!$M$4:$M$38,"ADAPTATIVA",'Deflatores Sisp'!$K$4:$K$38)</f>
        <v>0</v>
      </c>
      <c r="F19" s="21"/>
      <c r="G19" s="12"/>
      <c r="H19" s="12"/>
      <c r="I19" s="13"/>
    </row>
    <row r="20" ht="12.75" customHeight="1">
      <c r="A20" s="6"/>
      <c r="B20" t="s" s="48">
        <v>17</v>
      </c>
      <c r="C20" s="49"/>
      <c r="D20" s="50"/>
      <c r="E20" s="47">
        <f>SUMIF('Deflatores Sisp'!$M$4:$M$38,"EvolutivaI",'Deflatores Sisp'!$K$4:$K$38)</f>
        <v>105</v>
      </c>
      <c r="F20" s="21"/>
      <c r="G20" s="12"/>
      <c r="H20" s="12"/>
      <c r="I20" s="13"/>
    </row>
    <row r="21" ht="12.75" customHeight="1">
      <c r="A21" s="6"/>
      <c r="B21" t="s" s="48">
        <v>18</v>
      </c>
      <c r="C21" s="49"/>
      <c r="D21" s="50"/>
      <c r="E21" s="47">
        <f>SUMIF('Deflatores Sisp'!$M$4:$M$38,"EvolutivaA",'Deflatores Sisp'!$K$4:$K$38)</f>
        <v>0</v>
      </c>
      <c r="F21" s="21"/>
      <c r="G21" s="12"/>
      <c r="H21" s="12"/>
      <c r="I21" s="13"/>
    </row>
    <row r="22" ht="12.75" customHeight="1">
      <c r="A22" s="6"/>
      <c r="B22" t="s" s="48">
        <v>19</v>
      </c>
      <c r="C22" s="49"/>
      <c r="D22" s="50"/>
      <c r="E22" s="47">
        <f>SUMIF('Deflatores Sisp'!$M$4:$M$38,"EvolutivaE",'Deflatores Sisp'!$K$4:$K$38)</f>
        <v>0</v>
      </c>
      <c r="F22" s="21"/>
      <c r="G22" s="12"/>
      <c r="H22" s="12"/>
      <c r="I22" s="13"/>
    </row>
    <row r="23" ht="12.75" customHeight="1">
      <c r="A23" s="6"/>
      <c r="B23" t="s" s="48">
        <v>20</v>
      </c>
      <c r="C23" s="49"/>
      <c r="D23" s="50"/>
      <c r="E23" s="47">
        <f>'Deflatores Sisp'!N2</f>
        <v>99.75</v>
      </c>
      <c r="F23" s="21"/>
      <c r="G23" s="12"/>
      <c r="H23" s="12"/>
      <c r="I23" s="13"/>
    </row>
    <row r="24" ht="12.75" customHeight="1">
      <c r="A24" s="6"/>
      <c r="B24" t="s" s="48">
        <v>21</v>
      </c>
      <c r="C24" s="49"/>
      <c r="D24" s="50"/>
      <c r="E24" s="51">
        <f>SUM('Deflatores Sisp'!$K$42:$K$70)</f>
        <v>0</v>
      </c>
      <c r="F24" s="21"/>
      <c r="G24" s="12"/>
      <c r="H24" s="12"/>
      <c r="I24" s="13"/>
    </row>
    <row r="25" ht="27.75" customHeight="1">
      <c r="A25" s="6"/>
      <c r="B25" t="s" s="48">
        <v>22</v>
      </c>
      <c r="C25" s="49"/>
      <c r="D25" s="50"/>
      <c r="E25" s="52">
        <f>'Funções'!O6</f>
        <v>99.75</v>
      </c>
      <c r="F25" s="21"/>
      <c r="G25" s="12"/>
      <c r="H25" s="12"/>
      <c r="I25" s="13"/>
    </row>
    <row r="26" ht="15" customHeight="1">
      <c r="A26" s="14"/>
      <c r="B26" s="24"/>
      <c r="C26" s="53"/>
      <c r="D26" s="24"/>
      <c r="E26" s="54"/>
      <c r="F26" s="12"/>
      <c r="G26" s="12"/>
      <c r="H26" s="12"/>
      <c r="I26" s="13"/>
    </row>
    <row r="27" ht="15" customHeight="1">
      <c r="A27" s="6"/>
      <c r="B27" t="s" s="18">
        <v>23</v>
      </c>
      <c r="C27" s="19"/>
      <c r="D27" s="19"/>
      <c r="E27" s="20"/>
      <c r="F27" s="21"/>
      <c r="G27" s="12"/>
      <c r="H27" s="12"/>
      <c r="I27" s="13"/>
    </row>
    <row r="28" ht="12.75" customHeight="1">
      <c r="A28" s="6"/>
      <c r="B28" t="s" s="55">
        <v>24</v>
      </c>
      <c r="C28" s="56"/>
      <c r="D28" s="56"/>
      <c r="E28" s="57"/>
      <c r="F28" s="58"/>
      <c r="G28" s="12"/>
      <c r="H28" s="12"/>
      <c r="I28" s="13"/>
    </row>
    <row r="29" ht="13" customHeight="1">
      <c r="A29" s="6"/>
      <c r="B29" s="59"/>
      <c r="C29" s="60"/>
      <c r="D29" s="60"/>
      <c r="E29" s="61"/>
      <c r="F29" s="58"/>
      <c r="G29" s="12"/>
      <c r="H29" s="12"/>
      <c r="I29" s="13"/>
    </row>
    <row r="30" ht="43.5" customHeight="1">
      <c r="A30" s="6"/>
      <c r="B30" s="59"/>
      <c r="C30" s="60"/>
      <c r="D30" s="60"/>
      <c r="E30" s="61"/>
      <c r="F30" s="58"/>
      <c r="G30" s="12"/>
      <c r="H30" s="12"/>
      <c r="I30" s="13"/>
    </row>
    <row r="31" ht="15" customHeight="1">
      <c r="A31" s="14"/>
      <c r="B31" s="40"/>
      <c r="C31" s="62"/>
      <c r="D31" s="40"/>
      <c r="E31" s="40"/>
      <c r="F31" s="12"/>
      <c r="G31" s="12"/>
      <c r="H31" s="12"/>
      <c r="I31" s="13"/>
    </row>
    <row r="32" ht="15" customHeight="1">
      <c r="A32" s="6"/>
      <c r="B32" t="s" s="18">
        <v>25</v>
      </c>
      <c r="C32" s="19"/>
      <c r="D32" s="19"/>
      <c r="E32" s="20"/>
      <c r="F32" s="21"/>
      <c r="G32" s="12"/>
      <c r="H32" s="12"/>
      <c r="I32" s="13"/>
    </row>
    <row r="33" ht="13" customHeight="1">
      <c r="A33" s="6"/>
      <c r="B33" t="s" s="63">
        <v>26</v>
      </c>
      <c r="C33" t="s" s="64">
        <v>27</v>
      </c>
      <c r="D33" t="s" s="65">
        <v>28</v>
      </c>
      <c r="E33" t="s" s="65">
        <v>29</v>
      </c>
      <c r="F33" s="21"/>
      <c r="G33" s="12"/>
      <c r="H33" s="12"/>
      <c r="I33" s="13"/>
    </row>
    <row r="34" ht="36" customHeight="1">
      <c r="A34" s="6"/>
      <c r="B34" s="66">
        <v>45978</v>
      </c>
      <c r="C34" t="s" s="67">
        <v>30</v>
      </c>
      <c r="D34" t="s" s="68">
        <v>31</v>
      </c>
      <c r="E34" t="s" s="69">
        <v>32</v>
      </c>
      <c r="F34" s="21"/>
      <c r="G34" s="12"/>
      <c r="H34" s="12"/>
      <c r="I34" s="13"/>
    </row>
    <row r="35" ht="40.5" customHeight="1">
      <c r="A35" s="6"/>
      <c r="B35" s="66"/>
      <c r="C35" s="70"/>
      <c r="D35" s="71"/>
      <c r="E35" s="72"/>
      <c r="F35" s="21"/>
      <c r="G35" s="12"/>
      <c r="H35" s="12"/>
      <c r="I35" s="13"/>
    </row>
    <row r="36" ht="39" customHeight="1">
      <c r="A36" s="6"/>
      <c r="B36" s="66"/>
      <c r="C36" s="73"/>
      <c r="D36" s="74"/>
      <c r="E36" s="72"/>
      <c r="F36" s="21"/>
      <c r="G36" s="12"/>
      <c r="H36" s="12"/>
      <c r="I36" s="13"/>
    </row>
    <row r="37" ht="29.25" customHeight="1">
      <c r="A37" s="6"/>
      <c r="B37" s="66"/>
      <c r="C37" s="73"/>
      <c r="D37" s="75"/>
      <c r="E37" s="72"/>
      <c r="F37" s="21"/>
      <c r="G37" s="12"/>
      <c r="H37" s="12"/>
      <c r="I37" s="13"/>
    </row>
    <row r="38" ht="13" customHeight="1">
      <c r="A38" s="6"/>
      <c r="B38" s="66"/>
      <c r="C38" s="73"/>
      <c r="D38" s="74"/>
      <c r="E38" s="72"/>
      <c r="F38" s="21"/>
      <c r="G38" s="12"/>
      <c r="H38" s="12"/>
      <c r="I38" s="13"/>
    </row>
    <row r="39" ht="13" customHeight="1">
      <c r="A39" s="6"/>
      <c r="B39" s="66"/>
      <c r="C39" s="73"/>
      <c r="D39" s="76"/>
      <c r="E39" s="72"/>
      <c r="F39" s="21"/>
      <c r="G39" s="12"/>
      <c r="H39" s="12"/>
      <c r="I39" s="13"/>
    </row>
    <row r="40" ht="13" customHeight="1">
      <c r="A40" s="6"/>
      <c r="B40" s="66"/>
      <c r="C40" s="73"/>
      <c r="D40" s="77"/>
      <c r="E40" s="72"/>
      <c r="F40" s="21"/>
      <c r="G40" s="12"/>
      <c r="H40" s="12"/>
      <c r="I40" s="13"/>
    </row>
    <row r="41" ht="13" customHeight="1">
      <c r="A41" s="6"/>
      <c r="B41" s="66"/>
      <c r="C41" s="73"/>
      <c r="D41" s="71"/>
      <c r="E41" s="72"/>
      <c r="F41" s="21"/>
      <c r="G41" s="12"/>
      <c r="H41" s="12"/>
      <c r="I41" s="13"/>
    </row>
    <row r="42" ht="13" customHeight="1">
      <c r="A42" s="6"/>
      <c r="B42" s="66"/>
      <c r="C42" s="73"/>
      <c r="D42" s="71"/>
      <c r="E42" s="72"/>
      <c r="F42" s="21"/>
      <c r="G42" s="12"/>
      <c r="H42" s="12"/>
      <c r="I42" s="13"/>
    </row>
    <row r="43" ht="13" customHeight="1">
      <c r="A43" s="6"/>
      <c r="B43" s="66"/>
      <c r="C43" s="73"/>
      <c r="D43" s="71"/>
      <c r="E43" s="72"/>
      <c r="F43" s="21"/>
      <c r="G43" s="12"/>
      <c r="H43" s="12"/>
      <c r="I43" s="13"/>
    </row>
    <row r="44" ht="13" customHeight="1">
      <c r="A44" s="6"/>
      <c r="B44" s="66"/>
      <c r="C44" s="73"/>
      <c r="D44" s="71"/>
      <c r="E44" s="72"/>
      <c r="F44" s="21"/>
      <c r="G44" s="12"/>
      <c r="H44" s="12"/>
      <c r="I44" s="13"/>
    </row>
    <row r="45" ht="13" customHeight="1">
      <c r="A45" s="6"/>
      <c r="B45" s="66"/>
      <c r="C45" s="73"/>
      <c r="D45" s="71"/>
      <c r="E45" s="72"/>
      <c r="F45" s="21"/>
      <c r="G45" s="12"/>
      <c r="H45" s="12"/>
      <c r="I45" s="13"/>
    </row>
    <row r="46" ht="13" customHeight="1">
      <c r="A46" s="6"/>
      <c r="B46" s="66"/>
      <c r="C46" s="73"/>
      <c r="D46" s="71"/>
      <c r="E46" s="72"/>
      <c r="F46" s="21"/>
      <c r="G46" s="12"/>
      <c r="H46" s="12"/>
      <c r="I46" s="13"/>
    </row>
    <row r="47" ht="13" customHeight="1">
      <c r="A47" s="6"/>
      <c r="B47" s="66"/>
      <c r="C47" s="73"/>
      <c r="D47" s="71"/>
      <c r="E47" s="72"/>
      <c r="F47" s="21"/>
      <c r="G47" s="12"/>
      <c r="H47" s="12"/>
      <c r="I47" s="13"/>
    </row>
    <row r="48" ht="13" customHeight="1">
      <c r="A48" s="6"/>
      <c r="B48" s="66"/>
      <c r="C48" s="73"/>
      <c r="D48" s="71"/>
      <c r="E48" s="72"/>
      <c r="F48" s="21"/>
      <c r="G48" s="12"/>
      <c r="H48" s="12"/>
      <c r="I48" s="13"/>
    </row>
    <row r="49" ht="13" customHeight="1">
      <c r="A49" s="6"/>
      <c r="B49" s="66"/>
      <c r="C49" s="73"/>
      <c r="D49" s="71"/>
      <c r="E49" s="72"/>
      <c r="F49" s="21"/>
      <c r="G49" s="12"/>
      <c r="H49" s="12"/>
      <c r="I49" s="13"/>
    </row>
    <row r="50" ht="13" customHeight="1">
      <c r="A50" s="6"/>
      <c r="B50" s="66"/>
      <c r="C50" s="73"/>
      <c r="D50" s="71"/>
      <c r="E50" s="72"/>
      <c r="F50" s="21"/>
      <c r="G50" s="12"/>
      <c r="H50" s="12"/>
      <c r="I50" s="13"/>
    </row>
    <row r="51" ht="13" customHeight="1">
      <c r="A51" s="6"/>
      <c r="B51" s="66"/>
      <c r="C51" s="73"/>
      <c r="D51" s="74"/>
      <c r="E51" s="78"/>
      <c r="F51" s="21"/>
      <c r="G51" s="12"/>
      <c r="H51" s="12"/>
      <c r="I51" s="13"/>
    </row>
    <row r="52" ht="13" customHeight="1">
      <c r="A52" s="79"/>
      <c r="B52" s="80"/>
      <c r="C52" s="81"/>
      <c r="D52" s="82"/>
      <c r="E52" s="83"/>
      <c r="F52" s="84"/>
      <c r="G52" s="85"/>
      <c r="H52" s="85"/>
      <c r="I52" s="86"/>
    </row>
  </sheetData>
  <mergeCells count="16">
    <mergeCell ref="B28:E30"/>
    <mergeCell ref="B32:E32"/>
    <mergeCell ref="B22:D22"/>
    <mergeCell ref="B24:D24"/>
    <mergeCell ref="B25:D25"/>
    <mergeCell ref="B23:D23"/>
    <mergeCell ref="B18:D18"/>
    <mergeCell ref="B19:D19"/>
    <mergeCell ref="B20:D20"/>
    <mergeCell ref="B21:D21"/>
    <mergeCell ref="B27:E27"/>
    <mergeCell ref="B2:C2"/>
    <mergeCell ref="D2:E2"/>
    <mergeCell ref="B4:E4"/>
    <mergeCell ref="B16:E16"/>
    <mergeCell ref="B17:D17"/>
  </mergeCells>
  <dataValidations count="3">
    <dataValidation type="list" allowBlank="1" showInputMessage="1" showErrorMessage="1" sqref="D12">
      <formula1>"Aplicação,Projeto de Desenvolvimento,Projeto de Melhoria"</formula1>
    </dataValidation>
    <dataValidation type="list" allowBlank="1" showInputMessage="1" showErrorMessage="1" sqref="E12:I12">
      <formula1>"Aplicação,Estimativa,Projeto de Desenvolvimento,Projeto de Melhoria"</formula1>
    </dataValidation>
    <dataValidation type="list" allowBlank="1" showInputMessage="1" showErrorMessage="1" sqref="D14">
      <formula1>"Estimada,Detalhada"</formula1>
    </dataValidation>
  </dataValidations>
  <pageMargins left="0.511811" right="0.511811" top="0.787402" bottom="0.787402" header="0.314961" footer="0.314961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  <legacyDrawing r:id="rId2"/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AG121694"/>
  <sheetViews>
    <sheetView workbookViewId="0" defaultGridColor="0" colorId="8"/>
  </sheetViews>
  <sheetFormatPr defaultColWidth="8.83333" defaultRowHeight="13" customHeight="1" outlineLevelRow="0" outlineLevelCol="0"/>
  <cols>
    <col min="1" max="1" width="20.6719" style="88" customWidth="1"/>
    <col min="2" max="2" width="56.8516" style="89" customWidth="1"/>
    <col min="3" max="3" width="6.35156" style="90" customWidth="1"/>
    <col min="4" max="4" width="9.67188" style="90" customWidth="1"/>
    <col min="5" max="5" width="4.5" style="90" customWidth="1"/>
    <col min="6" max="6" width="10.3516" style="88" customWidth="1"/>
    <col min="7" max="7" width="3.85156" style="90" customWidth="1"/>
    <col min="8" max="8" width="57.9219" style="88" customWidth="1"/>
    <col min="9" max="9" width="12.5" style="90" customWidth="1"/>
    <col min="10" max="10" width="4.85156" style="90" customWidth="1"/>
    <col min="11" max="11" width="13.5" style="90" customWidth="1"/>
    <col min="12" max="12" width="6.67188" style="90" customWidth="1"/>
    <col min="13" max="13" width="7.35156" style="90" customWidth="1"/>
    <col min="14" max="14" width="12" style="90" customWidth="1"/>
    <col min="15" max="15" width="14.6719" style="90" customWidth="1"/>
    <col min="16" max="17" width="10.5" style="90" customWidth="1"/>
    <col min="18" max="18" width="12.6719" style="90" customWidth="1"/>
    <col min="19" max="21" width="10.5" style="90" customWidth="1"/>
    <col min="22" max="22" width="10.3516" style="90" customWidth="1"/>
    <col min="23" max="23" width="13" style="90" customWidth="1"/>
    <col min="24" max="24" width="10.6719" style="90" customWidth="1"/>
    <col min="25" max="25" width="32.5" style="90" customWidth="1"/>
    <col min="26" max="31" hidden="1" width="8.83333" style="90" customWidth="1"/>
    <col min="32" max="33" width="8.85156" style="90" customWidth="1"/>
    <col min="34" max="16384" width="8.85156" style="87" customWidth="1"/>
  </cols>
  <sheetData>
    <row r="1" s="90" customFormat="1" ht="13" customHeight="1">
      <c r="A1" t="s" s="91">
        <v>33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3"/>
    </row>
    <row r="2" s="90" customFormat="1" ht="13" customHeight="1">
      <c r="A2" s="94"/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6"/>
    </row>
    <row r="3" s="90" customFormat="1" ht="13" customHeight="1">
      <c r="A3" s="97"/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5"/>
      <c r="Y3" s="96"/>
    </row>
    <row r="4" s="90" customFormat="1" ht="13" customHeight="1">
      <c r="A4" t="s" s="99">
        <f>'Capa'!C6&amp;" : "&amp;'Capa'!D6</f>
        <v>34</v>
      </c>
      <c r="B4" s="100"/>
      <c r="C4" t="s" s="101">
        <f>'Capa'!C12&amp;" : "&amp;'Capa'!D12</f>
        <v>35</v>
      </c>
      <c r="D4" s="102"/>
      <c r="E4" s="102"/>
      <c r="F4" s="103"/>
      <c r="G4" s="102"/>
      <c r="H4" s="103"/>
      <c r="I4" s="102"/>
      <c r="J4" s="102"/>
      <c r="K4" s="102"/>
      <c r="L4" s="102"/>
      <c r="M4" s="102"/>
      <c r="N4" s="102"/>
      <c r="O4" s="104"/>
      <c r="P4" s="105"/>
      <c r="Q4" s="102"/>
      <c r="R4" s="102"/>
      <c r="S4" s="102"/>
      <c r="T4" s="102"/>
      <c r="U4" s="102"/>
      <c r="V4" s="106"/>
      <c r="W4" s="107"/>
      <c r="X4" s="108"/>
      <c r="Y4" s="109"/>
    </row>
    <row r="5" s="90" customFormat="1" ht="13" customHeight="1">
      <c r="A5" t="s" s="99">
        <f>'Capa'!C8&amp;" : "&amp;'Capa'!D8</f>
        <v>36</v>
      </c>
      <c r="B5" s="100"/>
      <c r="C5" t="s" s="101">
        <f>'Capa'!C14&amp;" : "&amp;'Capa'!D14</f>
        <v>37</v>
      </c>
      <c r="D5" s="102"/>
      <c r="E5" s="102"/>
      <c r="F5" s="103"/>
      <c r="G5" s="102"/>
      <c r="H5" s="103"/>
      <c r="I5" s="102"/>
      <c r="J5" s="104"/>
      <c r="K5" t="s" s="101">
        <v>38</v>
      </c>
      <c r="L5" s="102"/>
      <c r="M5" s="104"/>
      <c r="N5" t="s" s="110">
        <v>39</v>
      </c>
      <c r="O5" t="s" s="111">
        <v>40</v>
      </c>
      <c r="P5" t="s" s="112">
        <v>41</v>
      </c>
      <c r="Q5" s="113"/>
      <c r="R5" s="113"/>
      <c r="S5" s="113"/>
      <c r="T5" s="113"/>
      <c r="U5" s="113"/>
      <c r="V5" s="113"/>
      <c r="W5" s="114"/>
      <c r="X5" s="115"/>
      <c r="Y5" s="116"/>
    </row>
    <row r="6" s="90" customFormat="1" ht="13" customHeight="1">
      <c r="A6" t="s" s="117">
        <f>'Capa'!C10&amp;" : "&amp;'Capa'!D10</f>
        <v>42</v>
      </c>
      <c r="B6" s="103"/>
      <c r="C6" s="103"/>
      <c r="D6" s="103"/>
      <c r="E6" s="103"/>
      <c r="F6" s="103"/>
      <c r="G6" s="103"/>
      <c r="H6" s="103"/>
      <c r="I6" s="103"/>
      <c r="J6" s="104"/>
      <c r="K6" s="107">
        <f>SUM($K$8:$K$121694)</f>
        <v>105</v>
      </c>
      <c r="L6" s="105"/>
      <c r="M6" s="104"/>
      <c r="N6" s="107">
        <f>SUM($N$8:$N$110)</f>
        <v>105</v>
      </c>
      <c r="O6" s="107">
        <v>99.75</v>
      </c>
      <c r="P6" s="118"/>
      <c r="Q6" s="119"/>
      <c r="R6" s="119"/>
      <c r="S6" s="119"/>
      <c r="T6" s="119"/>
      <c r="U6" s="119"/>
      <c r="V6" s="119"/>
      <c r="W6" s="120"/>
      <c r="X6" s="108"/>
      <c r="Y6" s="109"/>
    </row>
    <row r="7" s="121" customFormat="1" ht="24" customHeight="1">
      <c r="A7" t="s" s="122">
        <v>43</v>
      </c>
      <c r="B7" t="s" s="122">
        <v>44</v>
      </c>
      <c r="C7" t="s" s="123">
        <v>45</v>
      </c>
      <c r="D7" t="s" s="122">
        <v>46</v>
      </c>
      <c r="E7" t="s" s="123">
        <v>47</v>
      </c>
      <c r="F7" t="s" s="123">
        <v>48</v>
      </c>
      <c r="G7" t="s" s="122">
        <v>49</v>
      </c>
      <c r="H7" t="s" s="122">
        <v>50</v>
      </c>
      <c r="I7" t="s" s="123">
        <v>51</v>
      </c>
      <c r="J7" t="s" s="124">
        <v>52</v>
      </c>
      <c r="K7" t="s" s="124">
        <v>53</v>
      </c>
      <c r="L7" t="s" s="124">
        <v>54</v>
      </c>
      <c r="M7" t="s" s="124">
        <v>55</v>
      </c>
      <c r="N7" t="s" s="124">
        <v>39</v>
      </c>
      <c r="O7" t="s" s="124">
        <v>56</v>
      </c>
      <c r="P7" t="s" s="125">
        <v>57</v>
      </c>
      <c r="Q7" t="s" s="125">
        <v>58</v>
      </c>
      <c r="R7" t="s" s="125">
        <v>59</v>
      </c>
      <c r="S7" t="s" s="125">
        <v>60</v>
      </c>
      <c r="T7" t="s" s="125">
        <v>61</v>
      </c>
      <c r="U7" t="s" s="125">
        <v>62</v>
      </c>
      <c r="V7" t="s" s="126">
        <v>63</v>
      </c>
      <c r="W7" t="s" s="126">
        <v>64</v>
      </c>
      <c r="X7" t="s" s="127">
        <v>65</v>
      </c>
      <c r="Y7" t="s" s="128">
        <v>66</v>
      </c>
      <c r="Z7" s="129"/>
      <c r="AA7" s="129"/>
      <c r="AB7" s="129"/>
      <c r="AC7" s="129"/>
      <c r="AD7" s="129"/>
      <c r="AE7" s="129"/>
    </row>
    <row r="8" s="90" customFormat="1" ht="13.65" customHeight="1">
      <c r="A8" t="s" s="130">
        <v>67</v>
      </c>
      <c r="B8" t="s" s="131">
        <v>68</v>
      </c>
      <c r="C8" s="132"/>
      <c r="D8" s="132"/>
      <c r="E8" s="132"/>
      <c r="F8" s="133"/>
      <c r="G8" s="132"/>
      <c r="H8" s="134"/>
      <c r="I8" t="s" s="135">
        <f>IF(ISBLANK(C8),"",IF(L8="L","Baixa",IF(L8="A","Média",IF(L8="","","Alta"))))</f>
      </c>
      <c r="J8" t="s" s="136">
        <f>CONCATENATE(C8,L8)</f>
      </c>
      <c r="K8" t="s" s="136">
        <f>IF(ISBLANK(C8),"",IF(C8="ALI",IF(L8="L",7,IF(L8="A",10,15)),IF(C8="AIE",IF(L8="L",5,IF(L8="A",7,10)),IF(C8="SE",IF(L8="L",4,IF(L8="A",5,7)),IF(OR(C8="EE",C8="CE"),IF(L8="L",3,IF(L8="A",4,6)),0)))))</f>
      </c>
      <c r="L8" t="s" s="137">
        <f>IF(OR(ISBLANK(E8),ISBLANK(G8)),IF(OR(C8="ALI",C8="AIE"),"L",IF(OR(C8="EE",C8="SE",C8="CE"),"A","")),IF(C8="EE",IF(G8&gt;=3,IF(E8&gt;=5,"H","A"),IF(G8&gt;=2,IF(E8&gt;=16,"H",IF(E8&lt;=4,"L","A")),IF(E8&lt;=15,"L","A"))),IF(OR(C8="SE",C8="CE"),IF(G8&gt;=4,IF(E8&gt;=6,"H","A"),IF(G8&gt;=2,IF(E8&gt;=20,"H",IF(E8&lt;=5,"L","A")),IF(E8&lt;=19,"L","A"))),IF(OR(C8="ALI",C8="AIE"),IF(G8&gt;=6,IF(E8&gt;=20,"H","A"),IF(G8&gt;=2,IF(E8&gt;=51,"H",IF(E8&lt;=19,"L","A")),IF(E8&lt;=50,"L","A"))),""))))</f>
      </c>
      <c r="M8" t="s" s="136">
        <f>CONCATENATE(C8,D8)</f>
      </c>
      <c r="N8" t="s" s="136">
        <f>IF(OR(K8="",K8=0),O8,K8)</f>
      </c>
      <c r="O8" t="s" s="138">
        <f>_xlfn.IFERROR(IF(NOT(ISERROR(VLOOKUP(C8,'Deflatores Sisp'!G$42:H$70,2,FALSE))),VLOOKUP(C8,'Deflatores Sisp'!G$42:H$70,2,FALSE),IF(OR(ISBLANK(D8),ISBLANK(C8)),"",VLOOKUP(D8,'Deflatores Sisp'!G$4:H$38,2,FALSE)*K8+VLOOKUP(D8,'Deflatores Sisp'!G$4:I$38,3,FALSE)))*W8,"")</f>
      </c>
      <c r="P8" s="139"/>
      <c r="Q8" s="140"/>
      <c r="R8" s="140"/>
      <c r="S8" s="140"/>
      <c r="T8" s="140"/>
      <c r="U8" s="140"/>
      <c r="V8" s="141"/>
      <c r="W8" s="142">
        <f>IF(V8="",SUM(Z8:AE8),IF(C8="PA",E8,100%))</f>
        <v>0</v>
      </c>
      <c r="X8" s="143"/>
      <c r="Y8" s="144"/>
      <c r="Z8" s="145">
        <f>IF(P8="x",25%,0)</f>
        <v>0</v>
      </c>
      <c r="AA8" s="145">
        <f>IF(Q8="x",10%,0)</f>
        <v>0</v>
      </c>
      <c r="AB8" s="145">
        <f>IF(R8="x",40%,0)</f>
        <v>0</v>
      </c>
      <c r="AC8" s="145">
        <f>IF(S8="x",15%,0)</f>
        <v>0</v>
      </c>
      <c r="AD8" s="145">
        <f>IF(T8="x",5%,0)</f>
        <v>0</v>
      </c>
      <c r="AE8" s="145">
        <f>IF(U8="x",5%,0)</f>
        <v>0</v>
      </c>
    </row>
    <row r="9" s="90" customFormat="1" ht="13.65" customHeight="1">
      <c r="A9" t="s" s="146">
        <v>69</v>
      </c>
      <c r="B9" t="s" s="147">
        <v>70</v>
      </c>
      <c r="C9" s="132"/>
      <c r="D9" s="132"/>
      <c r="E9" s="132"/>
      <c r="F9" s="133"/>
      <c r="G9" s="132"/>
      <c r="H9" s="134"/>
      <c r="I9" t="s" s="135">
        <f>IF(ISBLANK(C9),"",IF(L9="L","Baixa",IF(L9="A","Média",IF(L9="","","Alta"))))</f>
      </c>
      <c r="J9" t="s" s="136">
        <f>CONCATENATE(C9,L9)</f>
      </c>
      <c r="K9" t="s" s="136">
        <f>IF(ISBLANK(C9),"",IF(C9="ALI",IF(L9="L",7,IF(L9="A",10,15)),IF(C9="AIE",IF(L9="L",5,IF(L9="A",7,10)),IF(C9="SE",IF(L9="L",4,IF(L9="A",5,7)),IF(OR(C9="EE",C9="CE"),IF(L9="L",3,IF(L9="A",4,6)),0)))))</f>
      </c>
      <c r="L9" t="s" s="137">
        <f>IF(OR(ISBLANK(E9),ISBLANK(G9)),IF(OR(C9="ALI",C9="AIE"),"L",IF(OR(C9="EE",C9="SE",C9="CE"),"A","")),IF(C9="EE",IF(G9&gt;=3,IF(E9&gt;=5,"H","A"),IF(G9&gt;=2,IF(E9&gt;=16,"H",IF(E9&lt;=4,"L","A")),IF(E9&lt;=15,"L","A"))),IF(OR(C9="SE",C9="CE"),IF(G9&gt;=4,IF(E9&gt;=6,"H","A"),IF(G9&gt;=2,IF(E9&gt;=20,"H",IF(E9&lt;=5,"L","A")),IF(E9&lt;=19,"L","A"))),IF(OR(C9="ALI",C9="AIE"),IF(G9&gt;=6,IF(E9&gt;=20,"H","A"),IF(G9&gt;=2,IF(E9&gt;=51,"H",IF(E9&lt;=19,"L","A")),IF(E9&lt;=50,"L","A"))),""))))</f>
      </c>
      <c r="M9" t="s" s="136">
        <f>CONCATENATE(C9,D9)</f>
      </c>
      <c r="N9" t="s" s="136">
        <f>IF(OR(K9="",K9=0),O9,K9)</f>
      </c>
      <c r="O9" t="s" s="138">
        <f>_xlfn.IFERROR(IF(NOT(ISERROR(VLOOKUP(C9,'Deflatores Sisp'!G$42:H$70,2,FALSE))),VLOOKUP(C9,'Deflatores Sisp'!G$42:H$70,2,FALSE),IF(OR(ISBLANK(D9),ISBLANK(C9)),"",VLOOKUP(D9,'Deflatores Sisp'!G$4:H$38,2,FALSE)*K9+VLOOKUP(D9,'Deflatores Sisp'!G$4:I$38,3,FALSE)))*W9,"")</f>
      </c>
      <c r="P9" s="148"/>
      <c r="Q9" s="149"/>
      <c r="R9" s="149"/>
      <c r="S9" s="149"/>
      <c r="T9" s="149"/>
      <c r="U9" s="149"/>
      <c r="V9" s="141"/>
      <c r="W9" s="142">
        <f>IF(V9="",SUM(Z9:AE9),IF(C9="PA",E9,100%))</f>
        <v>0</v>
      </c>
      <c r="X9" s="143"/>
      <c r="Y9" s="144"/>
      <c r="Z9" s="145">
        <f>IF(P9="x",25%,0)</f>
        <v>0</v>
      </c>
      <c r="AA9" s="145">
        <f>IF(Q9="x",10%,0)</f>
        <v>0</v>
      </c>
      <c r="AB9" s="145">
        <f>IF(R9="x",40%,0)</f>
        <v>0</v>
      </c>
      <c r="AC9" s="145">
        <f>IF(S9="x",15%,0)</f>
        <v>0</v>
      </c>
      <c r="AD9" s="145">
        <f>IF(T9="x",5%,0)</f>
        <v>0</v>
      </c>
      <c r="AE9" s="145">
        <f>IF(U9="x",5%,0)</f>
        <v>0</v>
      </c>
    </row>
    <row r="10" s="90" customFormat="1" ht="33" customHeight="1">
      <c r="A10" s="133"/>
      <c r="B10" t="s" s="150">
        <v>71</v>
      </c>
      <c r="C10" t="s" s="151">
        <v>72</v>
      </c>
      <c r="D10" t="s" s="151">
        <v>73</v>
      </c>
      <c r="E10" s="152">
        <v>12</v>
      </c>
      <c r="F10" t="s" s="151">
        <v>74</v>
      </c>
      <c r="G10" s="152">
        <v>5</v>
      </c>
      <c r="H10" t="s" s="153">
        <v>75</v>
      </c>
      <c r="I10" t="s" s="135">
        <f>IF(ISBLANK(C10),"",IF(L10="L","Baixa",IF(L10="A","Média",IF(L10="","","Alta"))))</f>
        <v>76</v>
      </c>
      <c r="J10" t="s" s="136">
        <f>CONCATENATE(C10,L10)</f>
        <v>77</v>
      </c>
      <c r="K10" s="154">
        <f>IF(ISBLANK(C10),"",IF(C10="ALI",IF(L10="L",7,IF(L10="A",10,15)),IF(C10="AIE",IF(L10="L",5,IF(L10="A",7,10)),IF(C10="SE",IF(L10="L",4,IF(L10="A",5,7)),IF(OR(C10="EE",C10="CE"),IF(L10="L",3,IF(L10="A",4,6)),0)))))</f>
        <v>6</v>
      </c>
      <c r="L10" t="s" s="137">
        <f>IF(OR(ISBLANK(E10),ISBLANK(G10)),IF(OR(C10="ALI",C10="AIE"),"L",IF(OR(C10="EE",C10="SE",C10="CE"),"A","")),IF(C10="EE",IF(G10&gt;=3,IF(E10&gt;=5,"H","A"),IF(G10&gt;=2,IF(E10&gt;=16,"H",IF(E10&lt;=4,"L","A")),IF(E10&lt;=15,"L","A"))),IF(OR(C10="SE",C10="CE"),IF(G10&gt;=4,IF(E10&gt;=6,"H","A"),IF(G10&gt;=2,IF(E10&gt;=20,"H",IF(E10&lt;=5,"L","A")),IF(E10&lt;=19,"L","A"))),IF(OR(C10="ALI",C10="AIE"),IF(G10&gt;=6,IF(E10&gt;=20,"H","A"),IF(G10&gt;=2,IF(E10&gt;=51,"H",IF(E10&lt;=19,"L","A")),IF(E10&lt;=50,"L","A"))),""))))</f>
        <v>78</v>
      </c>
      <c r="M10" t="s" s="136">
        <f>CONCATENATE(C10,D10)</f>
        <v>79</v>
      </c>
      <c r="N10" s="149">
        <f>IF(OR(K10="",K10=0),O10,K10)</f>
        <v>6</v>
      </c>
      <c r="O10" s="155">
        <f>_xlfn.IFERROR(IF(NOT(ISERROR(VLOOKUP(C10,'Deflatores Sisp'!G$42:H$70,2,FALSE))),VLOOKUP(C10,'Deflatores Sisp'!G$42:H$70,2,FALSE),IF(OR(ISBLANK(D10),ISBLANK(C10)),"",VLOOKUP(D10,'Deflatores Sisp'!G$4:H$38,2,FALSE)*K10+VLOOKUP(D10,'Deflatores Sisp'!G$4:I$38,3,FALSE)))*W10,"")</f>
        <v>5.7</v>
      </c>
      <c r="P10" t="s" s="156">
        <v>80</v>
      </c>
      <c r="Q10" t="s" s="136">
        <v>80</v>
      </c>
      <c r="R10" t="s" s="136">
        <v>80</v>
      </c>
      <c r="S10" t="s" s="136">
        <v>80</v>
      </c>
      <c r="T10" s="149"/>
      <c r="U10" t="s" s="136">
        <v>80</v>
      </c>
      <c r="V10" s="141"/>
      <c r="W10" s="142">
        <f>IF(V10="",SUM(Z10:AE10),IF(C10="PA",E10,100%))</f>
        <v>0.95</v>
      </c>
      <c r="X10" s="143"/>
      <c r="Y10" s="144"/>
      <c r="Z10" s="145">
        <f>IF(P10="x",25%,0)</f>
        <v>0.25</v>
      </c>
      <c r="AA10" s="145">
        <f>IF(Q10="x",10%,0)</f>
        <v>0.1</v>
      </c>
      <c r="AB10" s="145">
        <f>IF(R10="x",40%,0)</f>
        <v>0.4</v>
      </c>
      <c r="AC10" s="145">
        <f>IF(S10="x",15%,0)</f>
        <v>0.15</v>
      </c>
      <c r="AD10" s="145">
        <f>IF(T10="x",5%,0)</f>
        <v>0</v>
      </c>
      <c r="AE10" s="145">
        <f>IF(U10="x",5%,0)</f>
        <v>0.05</v>
      </c>
    </row>
    <row r="11" s="90" customFormat="1" ht="33" customHeight="1">
      <c r="A11" s="133"/>
      <c r="B11" t="s" s="157">
        <v>81</v>
      </c>
      <c r="C11" t="s" s="28">
        <v>72</v>
      </c>
      <c r="D11" t="s" s="28">
        <v>73</v>
      </c>
      <c r="E11" s="90">
        <v>14</v>
      </c>
      <c r="F11" t="s" s="28">
        <v>82</v>
      </c>
      <c r="G11" s="90">
        <v>6</v>
      </c>
      <c r="H11" t="s" s="158">
        <v>83</v>
      </c>
      <c r="I11" t="s" s="135">
        <f>IF(ISBLANK(C11),"",IF(L11="L","Baixa",IF(L11="A","Média",IF(L11="","","Alta"))))</f>
        <v>76</v>
      </c>
      <c r="J11" t="s" s="136">
        <f>CONCATENATE(C11,L11)</f>
        <v>77</v>
      </c>
      <c r="K11" s="154">
        <f>IF(ISBLANK(C11),"",IF(C11="ALI",IF(L11="L",7,IF(L11="A",10,15)),IF(C11="AIE",IF(L11="L",5,IF(L11="A",7,10)),IF(C11="SE",IF(L11="L",4,IF(L11="A",5,7)),IF(OR(C11="EE",C11="CE"),IF(L11="L",3,IF(L11="A",4,6)),0)))))</f>
        <v>6</v>
      </c>
      <c r="L11" t="s" s="137">
        <f>IF(OR(ISBLANK(E11),ISBLANK(G11)),IF(OR(C11="ALI",C11="AIE"),"L",IF(OR(C11="EE",C11="SE",C11="CE"),"A","")),IF(C11="EE",IF(G11&gt;=3,IF(E11&gt;=5,"H","A"),IF(G11&gt;=2,IF(E11&gt;=16,"H",IF(E11&lt;=4,"L","A")),IF(E11&lt;=15,"L","A"))),IF(OR(C11="SE",C11="CE"),IF(G11&gt;=4,IF(E11&gt;=6,"H","A"),IF(G11&gt;=2,IF(E11&gt;=20,"H",IF(E11&lt;=5,"L","A")),IF(E11&lt;=19,"L","A"))),IF(OR(C11="ALI",C11="AIE"),IF(G11&gt;=6,IF(E11&gt;=20,"H","A"),IF(G11&gt;=2,IF(E11&gt;=51,"H",IF(E11&lt;=19,"L","A")),IF(E11&lt;=50,"L","A"))),""))))</f>
        <v>78</v>
      </c>
      <c r="M11" t="s" s="136">
        <f>CONCATENATE(C11,D11)</f>
        <v>79</v>
      </c>
      <c r="N11" s="149">
        <f>IF(OR(K11="",K11=0),O11,K11)</f>
        <v>6</v>
      </c>
      <c r="O11" s="155">
        <f>_xlfn.IFERROR(IF(NOT(ISERROR(VLOOKUP(C11,'Deflatores Sisp'!G$42:H$70,2,FALSE))),VLOOKUP(C11,'Deflatores Sisp'!G$42:H$70,2,FALSE),IF(OR(ISBLANK(D11),ISBLANK(C11)),"",VLOOKUP(D11,'Deflatores Sisp'!G$4:H$38,2,FALSE)*K11+VLOOKUP(D11,'Deflatores Sisp'!G$4:I$38,3,FALSE)))*W11,"")</f>
        <v>5.7</v>
      </c>
      <c r="P11" t="s" s="156">
        <v>80</v>
      </c>
      <c r="Q11" t="s" s="136">
        <v>80</v>
      </c>
      <c r="R11" t="s" s="136">
        <v>80</v>
      </c>
      <c r="S11" t="s" s="136">
        <v>80</v>
      </c>
      <c r="T11" s="149"/>
      <c r="U11" t="s" s="136">
        <v>80</v>
      </c>
      <c r="V11" s="141"/>
      <c r="W11" s="142">
        <f>IF(V11="",SUM(Z11:AE11),IF(C11="PA",E11,100%))</f>
        <v>0.95</v>
      </c>
      <c r="X11" s="143"/>
      <c r="Y11" s="144"/>
      <c r="Z11" s="145">
        <f>IF(P11="x",25%,0)</f>
        <v>0.25</v>
      </c>
      <c r="AA11" s="145">
        <f>IF(Q11="x",10%,0)</f>
        <v>0.1</v>
      </c>
      <c r="AB11" s="145">
        <f>IF(R11="x",40%,0)</f>
        <v>0.4</v>
      </c>
      <c r="AC11" s="145">
        <f>IF(S11="x",15%,0)</f>
        <v>0.15</v>
      </c>
      <c r="AD11" s="145">
        <f>IF(T11="x",5%,0)</f>
        <v>0</v>
      </c>
      <c r="AE11" s="145">
        <f>IF(U11="x",5%,0)</f>
        <v>0.05</v>
      </c>
    </row>
    <row r="12" s="90" customFormat="1" ht="33" customHeight="1">
      <c r="A12" s="133"/>
      <c r="B12" t="s" s="157">
        <v>84</v>
      </c>
      <c r="C12" t="s" s="28">
        <v>85</v>
      </c>
      <c r="D12" t="s" s="28">
        <v>73</v>
      </c>
      <c r="E12" s="90">
        <v>12</v>
      </c>
      <c r="F12" t="s" s="28">
        <v>86</v>
      </c>
      <c r="G12" s="90">
        <v>5</v>
      </c>
      <c r="H12" t="s" s="158">
        <v>87</v>
      </c>
      <c r="I12" t="s" s="135">
        <f>IF(ISBLANK(C12),"",IF(L12="L","Baixa",IF(L12="A","Média",IF(L12="","","Alta"))))</f>
        <v>76</v>
      </c>
      <c r="J12" t="s" s="136">
        <f>CONCATENATE(C12,L12)</f>
        <v>88</v>
      </c>
      <c r="K12" s="154">
        <f>IF(ISBLANK(C12),"",IF(C12="ALI",IF(L12="L",7,IF(L12="A",10,15)),IF(C12="AIE",IF(L12="L",5,IF(L12="A",7,10)),IF(C12="SE",IF(L12="L",4,IF(L12="A",5,7)),IF(OR(C12="EE",C12="CE"),IF(L12="L",3,IF(L12="A",4,6)),0)))))</f>
        <v>7</v>
      </c>
      <c r="L12" t="s" s="137">
        <f>IF(OR(ISBLANK(E12),ISBLANK(G12)),IF(OR(C12="ALI",C12="AIE"),"L",IF(OR(C12="EE",C12="SE",C12="CE"),"A","")),IF(C12="EE",IF(G12&gt;=3,IF(E12&gt;=5,"H","A"),IF(G12&gt;=2,IF(E12&gt;=16,"H",IF(E12&lt;=4,"L","A")),IF(E12&lt;=15,"L","A"))),IF(OR(C12="SE",C12="CE"),IF(G12&gt;=4,IF(E12&gt;=6,"H","A"),IF(G12&gt;=2,IF(E12&gt;=20,"H",IF(E12&lt;=5,"L","A")),IF(E12&lt;=19,"L","A"))),IF(OR(C12="ALI",C12="AIE"),IF(G12&gt;=6,IF(E12&gt;=20,"H","A"),IF(G12&gt;=2,IF(E12&gt;=51,"H",IF(E12&lt;=19,"L","A")),IF(E12&lt;=50,"L","A"))),""))))</f>
        <v>78</v>
      </c>
      <c r="M12" t="s" s="136">
        <f>CONCATENATE(C12,D12)</f>
        <v>89</v>
      </c>
      <c r="N12" s="149">
        <f>IF(OR(K12="",K12=0),O12,K12)</f>
        <v>7</v>
      </c>
      <c r="O12" s="155">
        <f>_xlfn.IFERROR(IF(NOT(ISERROR(VLOOKUP(C12,'Deflatores Sisp'!G$42:H$70,2,FALSE))),VLOOKUP(C12,'Deflatores Sisp'!G$42:H$70,2,FALSE),IF(OR(ISBLANK(D12),ISBLANK(C12)),"",VLOOKUP(D12,'Deflatores Sisp'!G$4:H$38,2,FALSE)*K12+VLOOKUP(D12,'Deflatores Sisp'!G$4:I$38,3,FALSE)))*W12,"")</f>
        <v>6.65</v>
      </c>
      <c r="P12" t="s" s="156">
        <v>80</v>
      </c>
      <c r="Q12" t="s" s="136">
        <v>80</v>
      </c>
      <c r="R12" t="s" s="136">
        <v>80</v>
      </c>
      <c r="S12" t="s" s="136">
        <v>80</v>
      </c>
      <c r="T12" s="149"/>
      <c r="U12" t="s" s="136">
        <v>80</v>
      </c>
      <c r="V12" s="141"/>
      <c r="W12" s="142">
        <f>IF(V12="",SUM(Z12:AE12),IF(C12="PA",E12,100%))</f>
        <v>0.95</v>
      </c>
      <c r="X12" s="143"/>
      <c r="Y12" s="144"/>
      <c r="Z12" s="145">
        <f>IF(P12="x",25%,0)</f>
        <v>0.25</v>
      </c>
      <c r="AA12" s="145">
        <f>IF(Q12="x",10%,0)</f>
        <v>0.1</v>
      </c>
      <c r="AB12" s="145">
        <f>IF(R12="x",40%,0)</f>
        <v>0.4</v>
      </c>
      <c r="AC12" s="145">
        <f>IF(S12="x",15%,0)</f>
        <v>0.15</v>
      </c>
      <c r="AD12" s="145">
        <f>IF(T12="x",5%,0)</f>
        <v>0</v>
      </c>
      <c r="AE12" s="145">
        <f>IF(U12="x",5%,0)</f>
        <v>0.05</v>
      </c>
    </row>
    <row r="13" s="90" customFormat="1" ht="33" customHeight="1">
      <c r="A13" s="133"/>
      <c r="B13" t="s" s="157">
        <v>90</v>
      </c>
      <c r="C13" t="s" s="28">
        <v>91</v>
      </c>
      <c r="D13" t="s" s="28">
        <v>73</v>
      </c>
      <c r="E13" s="90">
        <v>10</v>
      </c>
      <c r="F13" t="s" s="28">
        <v>92</v>
      </c>
      <c r="G13" s="90">
        <v>5</v>
      </c>
      <c r="H13" t="s" s="158">
        <v>93</v>
      </c>
      <c r="I13" t="s" s="135">
        <f>IF(ISBLANK(C13),"",IF(L13="L","Baixa",IF(L13="A","Média",IF(L13="","","Alta"))))</f>
        <v>76</v>
      </c>
      <c r="J13" t="s" s="136">
        <f>CONCATENATE(C13,L13)</f>
        <v>94</v>
      </c>
      <c r="K13" s="154">
        <f>IF(ISBLANK(C13),"",IF(C13="ALI",IF(L13="L",7,IF(L13="A",10,15)),IF(C13="AIE",IF(L13="L",5,IF(L13="A",7,10)),IF(C13="SE",IF(L13="L",4,IF(L13="A",5,7)),IF(OR(C13="EE",C13="CE"),IF(L13="L",3,IF(L13="A",4,6)),0)))))</f>
        <v>6</v>
      </c>
      <c r="L13" t="s" s="137">
        <f>IF(OR(ISBLANK(E13),ISBLANK(G13)),IF(OR(C13="ALI",C13="AIE"),"L",IF(OR(C13="EE",C13="SE",C13="CE"),"A","")),IF(C13="EE",IF(G13&gt;=3,IF(E13&gt;=5,"H","A"),IF(G13&gt;=2,IF(E13&gt;=16,"H",IF(E13&lt;=4,"L","A")),IF(E13&lt;=15,"L","A"))),IF(OR(C13="SE",C13="CE"),IF(G13&gt;=4,IF(E13&gt;=6,"H","A"),IF(G13&gt;=2,IF(E13&gt;=20,"H",IF(E13&lt;=5,"L","A")),IF(E13&lt;=19,"L","A"))),IF(OR(C13="ALI",C13="AIE"),IF(G13&gt;=6,IF(E13&gt;=20,"H","A"),IF(G13&gt;=2,IF(E13&gt;=51,"H",IF(E13&lt;=19,"L","A")),IF(E13&lt;=50,"L","A"))),""))))</f>
        <v>78</v>
      </c>
      <c r="M13" t="s" s="136">
        <f>CONCATENATE(C13,D13)</f>
        <v>95</v>
      </c>
      <c r="N13" s="149">
        <f>IF(OR(K13="",K13=0),O13,K13)</f>
        <v>6</v>
      </c>
      <c r="O13" s="155">
        <f>_xlfn.IFERROR(IF(NOT(ISERROR(VLOOKUP(C13,'Deflatores Sisp'!G$42:H$70,2,FALSE))),VLOOKUP(C13,'Deflatores Sisp'!G$42:H$70,2,FALSE),IF(OR(ISBLANK(D13),ISBLANK(C13)),"",VLOOKUP(D13,'Deflatores Sisp'!G$4:H$38,2,FALSE)*K13+VLOOKUP(D13,'Deflatores Sisp'!G$4:I$38,3,FALSE)))*W13,"")</f>
        <v>5.7</v>
      </c>
      <c r="P13" t="s" s="156">
        <v>80</v>
      </c>
      <c r="Q13" t="s" s="136">
        <v>80</v>
      </c>
      <c r="R13" t="s" s="136">
        <v>80</v>
      </c>
      <c r="S13" t="s" s="136">
        <v>80</v>
      </c>
      <c r="T13" s="149"/>
      <c r="U13" t="s" s="136">
        <v>80</v>
      </c>
      <c r="V13" s="141"/>
      <c r="W13" s="142">
        <f>IF(V13="",SUM(Z13:AE13),IF(C13="PA",E13,100%))</f>
        <v>0.95</v>
      </c>
      <c r="X13" s="143"/>
      <c r="Y13" s="144"/>
      <c r="Z13" s="145">
        <f>IF(P13="x",25%,0)</f>
        <v>0.25</v>
      </c>
      <c r="AA13" s="145">
        <f>IF(Q13="x",10%,0)</f>
        <v>0.1</v>
      </c>
      <c r="AB13" s="145">
        <f>IF(R13="x",40%,0)</f>
        <v>0.4</v>
      </c>
      <c r="AC13" s="145">
        <f>IF(S13="x",15%,0)</f>
        <v>0.15</v>
      </c>
      <c r="AD13" s="145">
        <f>IF(T13="x",5%,0)</f>
        <v>0</v>
      </c>
      <c r="AE13" s="145">
        <f>IF(U13="x",5%,0)</f>
        <v>0.05</v>
      </c>
    </row>
    <row r="14" s="90" customFormat="1" ht="33" customHeight="1">
      <c r="A14" s="133"/>
      <c r="B14" t="s" s="157">
        <v>96</v>
      </c>
      <c r="C14" t="s" s="28">
        <v>91</v>
      </c>
      <c r="D14" t="s" s="28">
        <v>73</v>
      </c>
      <c r="E14" s="90">
        <v>10</v>
      </c>
      <c r="F14" t="s" s="28">
        <v>97</v>
      </c>
      <c r="G14" s="90">
        <v>4</v>
      </c>
      <c r="H14" t="s" s="158">
        <v>98</v>
      </c>
      <c r="I14" t="s" s="135">
        <f>IF(ISBLANK(C14),"",IF(L14="L","Baixa",IF(L14="A","Média",IF(L14="","","Alta"))))</f>
        <v>76</v>
      </c>
      <c r="J14" t="s" s="136">
        <f>CONCATENATE(C14,L14)</f>
        <v>94</v>
      </c>
      <c r="K14" s="154">
        <f>IF(ISBLANK(C14),"",IF(C14="ALI",IF(L14="L",7,IF(L14="A",10,15)),IF(C14="AIE",IF(L14="L",5,IF(L14="A",7,10)),IF(C14="SE",IF(L14="L",4,IF(L14="A",5,7)),IF(OR(C14="EE",C14="CE"),IF(L14="L",3,IF(L14="A",4,6)),0)))))</f>
        <v>6</v>
      </c>
      <c r="L14" t="s" s="137">
        <f>IF(OR(ISBLANK(E14),ISBLANK(G14)),IF(OR(C14="ALI",C14="AIE"),"L",IF(OR(C14="EE",C14="SE",C14="CE"),"A","")),IF(C14="EE",IF(G14&gt;=3,IF(E14&gt;=5,"H","A"),IF(G14&gt;=2,IF(E14&gt;=16,"H",IF(E14&lt;=4,"L","A")),IF(E14&lt;=15,"L","A"))),IF(OR(C14="SE",C14="CE"),IF(G14&gt;=4,IF(E14&gt;=6,"H","A"),IF(G14&gt;=2,IF(E14&gt;=20,"H",IF(E14&lt;=5,"L","A")),IF(E14&lt;=19,"L","A"))),IF(OR(C14="ALI",C14="AIE"),IF(G14&gt;=6,IF(E14&gt;=20,"H","A"),IF(G14&gt;=2,IF(E14&gt;=51,"H",IF(E14&lt;=19,"L","A")),IF(E14&lt;=50,"L","A"))),""))))</f>
        <v>78</v>
      </c>
      <c r="M14" t="s" s="136">
        <f>CONCATENATE(C14,D14)</f>
        <v>95</v>
      </c>
      <c r="N14" s="149">
        <f>IF(OR(K14="",K14=0),O14,K14)</f>
        <v>6</v>
      </c>
      <c r="O14" s="155">
        <f>_xlfn.IFERROR(IF(NOT(ISERROR(VLOOKUP(C14,'Deflatores Sisp'!G$42:H$70,2,FALSE))),VLOOKUP(C14,'Deflatores Sisp'!G$42:H$70,2,FALSE),IF(OR(ISBLANK(D14),ISBLANK(C14)),"",VLOOKUP(D14,'Deflatores Sisp'!G$4:H$38,2,FALSE)*K14+VLOOKUP(D14,'Deflatores Sisp'!G$4:I$38,3,FALSE)))*W14,"")</f>
        <v>5.7</v>
      </c>
      <c r="P14" t="s" s="156">
        <v>80</v>
      </c>
      <c r="Q14" t="s" s="136">
        <v>80</v>
      </c>
      <c r="R14" t="s" s="136">
        <v>80</v>
      </c>
      <c r="S14" t="s" s="136">
        <v>80</v>
      </c>
      <c r="T14" s="149"/>
      <c r="U14" t="s" s="136">
        <v>80</v>
      </c>
      <c r="V14" s="141"/>
      <c r="W14" s="142">
        <f>IF(V14="",SUM(Z14:AE14),IF(C14="PA",E14,100%))</f>
        <v>0.95</v>
      </c>
      <c r="X14" s="143"/>
      <c r="Y14" s="144"/>
      <c r="Z14" s="145">
        <f>IF(P14="x",25%,0)</f>
        <v>0.25</v>
      </c>
      <c r="AA14" s="145">
        <f>IF(Q14="x",10%,0)</f>
        <v>0.1</v>
      </c>
      <c r="AB14" s="145">
        <f>IF(R14="x",40%,0)</f>
        <v>0.4</v>
      </c>
      <c r="AC14" s="145">
        <f>IF(S14="x",15%,0)</f>
        <v>0.15</v>
      </c>
      <c r="AD14" s="145">
        <f>IF(T14="x",5%,0)</f>
        <v>0</v>
      </c>
      <c r="AE14" s="145">
        <f>IF(U14="x",5%,0)</f>
        <v>0.05</v>
      </c>
    </row>
    <row r="15" s="90" customFormat="1" ht="33" customHeight="1">
      <c r="A15" s="133"/>
      <c r="B15" t="s" s="157">
        <v>99</v>
      </c>
      <c r="C15" t="s" s="28">
        <v>100</v>
      </c>
      <c r="D15" t="s" s="28">
        <v>73</v>
      </c>
      <c r="E15" s="90">
        <v>20</v>
      </c>
      <c r="F15" t="s" s="28">
        <v>101</v>
      </c>
      <c r="G15" s="90">
        <v>4</v>
      </c>
      <c r="H15" t="s" s="158">
        <v>102</v>
      </c>
      <c r="I15" t="s" s="135">
        <f>IF(ISBLANK(C15),"",IF(L15="L","Baixa",IF(L15="A","Média",IF(L15="","","Alta"))))</f>
        <v>103</v>
      </c>
      <c r="J15" t="s" s="136">
        <f>CONCATENATE(C15,L15)</f>
        <v>104</v>
      </c>
      <c r="K15" s="154">
        <f>IF(ISBLANK(C15),"",IF(C15="ALI",IF(L15="L",7,IF(L15="A",10,15)),IF(C15="AIE",IF(L15="L",5,IF(L15="A",7,10)),IF(C15="SE",IF(L15="L",4,IF(L15="A",5,7)),IF(OR(C15="EE",C15="CE"),IF(L15="L",3,IF(L15="A",4,6)),0)))))</f>
        <v>7</v>
      </c>
      <c r="L15" t="s" s="137">
        <f>IF(OR(ISBLANK(E15),ISBLANK(G15)),IF(OR(C15="ALI",C15="AIE"),"L",IF(OR(C15="EE",C15="SE",C15="CE"),"A","")),IF(C15="EE",IF(G15&gt;=3,IF(E15&gt;=5,"H","A"),IF(G15&gt;=2,IF(E15&gt;=16,"H",IF(E15&lt;=4,"L","A")),IF(E15&lt;=15,"L","A"))),IF(OR(C15="SE",C15="CE"),IF(G15&gt;=4,IF(E15&gt;=6,"H","A"),IF(G15&gt;=2,IF(E15&gt;=20,"H",IF(E15&lt;=5,"L","A")),IF(E15&lt;=19,"L","A"))),IF(OR(C15="ALI",C15="AIE"),IF(G15&gt;=6,IF(E15&gt;=20,"H","A"),IF(G15&gt;=2,IF(E15&gt;=51,"H",IF(E15&lt;=19,"L","A")),IF(E15&lt;=50,"L","A"))),""))))</f>
        <v>105</v>
      </c>
      <c r="M15" t="s" s="136">
        <f>CONCATENATE(C15,D15)</f>
        <v>106</v>
      </c>
      <c r="N15" s="149">
        <f>IF(OR(K15="",K15=0),O15,K15)</f>
        <v>7</v>
      </c>
      <c r="O15" s="155">
        <f>_xlfn.IFERROR(IF(NOT(ISERROR(VLOOKUP(C15,'Deflatores Sisp'!G$42:H$70,2,FALSE))),VLOOKUP(C15,'Deflatores Sisp'!G$42:H$70,2,FALSE),IF(OR(ISBLANK(D15),ISBLANK(C15)),"",VLOOKUP(D15,'Deflatores Sisp'!G$4:H$38,2,FALSE)*K15+VLOOKUP(D15,'Deflatores Sisp'!G$4:I$38,3,FALSE)))*W15,"")</f>
        <v>6.65</v>
      </c>
      <c r="P15" t="s" s="156">
        <v>80</v>
      </c>
      <c r="Q15" t="s" s="136">
        <v>80</v>
      </c>
      <c r="R15" t="s" s="136">
        <v>80</v>
      </c>
      <c r="S15" t="s" s="136">
        <v>80</v>
      </c>
      <c r="T15" s="149"/>
      <c r="U15" t="s" s="136">
        <v>80</v>
      </c>
      <c r="V15" s="141"/>
      <c r="W15" s="142">
        <f>IF(V15="",SUM(Z15:AE15),IF(C15="PA",E15,100%))</f>
        <v>0.95</v>
      </c>
      <c r="X15" s="143"/>
      <c r="Y15" s="144"/>
      <c r="Z15" s="145">
        <f>IF(P15="x",25%,0)</f>
        <v>0.25</v>
      </c>
      <c r="AA15" s="145">
        <f>IF(Q15="x",10%,0)</f>
        <v>0.1</v>
      </c>
      <c r="AB15" s="145">
        <f>IF(R15="x",40%,0)</f>
        <v>0.4</v>
      </c>
      <c r="AC15" s="145">
        <f>IF(S15="x",15%,0)</f>
        <v>0.15</v>
      </c>
      <c r="AD15" s="145">
        <f>IF(T15="x",5%,0)</f>
        <v>0</v>
      </c>
      <c r="AE15" s="145">
        <f>IF(U15="x",5%,0)</f>
        <v>0.05</v>
      </c>
    </row>
    <row r="16" s="90" customFormat="1" ht="33" customHeight="1">
      <c r="A16" s="133"/>
      <c r="B16" t="s" s="157">
        <v>107</v>
      </c>
      <c r="C16" t="s" s="28">
        <v>72</v>
      </c>
      <c r="D16" t="s" s="28">
        <v>73</v>
      </c>
      <c r="E16" s="90">
        <v>14</v>
      </c>
      <c r="F16" t="s" s="28">
        <v>108</v>
      </c>
      <c r="G16" s="90">
        <v>6</v>
      </c>
      <c r="H16" t="s" s="158">
        <v>109</v>
      </c>
      <c r="I16" t="s" s="135">
        <f>IF(ISBLANK(C16),"",IF(L16="L","Baixa",IF(L16="A","Média",IF(L16="","","Alta"))))</f>
        <v>76</v>
      </c>
      <c r="J16" t="s" s="136">
        <f>CONCATENATE(C16,L16)</f>
        <v>77</v>
      </c>
      <c r="K16" s="154">
        <f>IF(ISBLANK(C16),"",IF(C16="ALI",IF(L16="L",7,IF(L16="A",10,15)),IF(C16="AIE",IF(L16="L",5,IF(L16="A",7,10)),IF(C16="SE",IF(L16="L",4,IF(L16="A",5,7)),IF(OR(C16="EE",C16="CE"),IF(L16="L",3,IF(L16="A",4,6)),0)))))</f>
        <v>6</v>
      </c>
      <c r="L16" t="s" s="137">
        <f>IF(OR(ISBLANK(E16),ISBLANK(G16)),IF(OR(C16="ALI",C16="AIE"),"L",IF(OR(C16="EE",C16="SE",C16="CE"),"A","")),IF(C16="EE",IF(G16&gt;=3,IF(E16&gt;=5,"H","A"),IF(G16&gt;=2,IF(E16&gt;=16,"H",IF(E16&lt;=4,"L","A")),IF(E16&lt;=15,"L","A"))),IF(OR(C16="SE",C16="CE"),IF(G16&gt;=4,IF(E16&gt;=6,"H","A"),IF(G16&gt;=2,IF(E16&gt;=20,"H",IF(E16&lt;=5,"L","A")),IF(E16&lt;=19,"L","A"))),IF(OR(C16="ALI",C16="AIE"),IF(G16&gt;=6,IF(E16&gt;=20,"H","A"),IF(G16&gt;=2,IF(E16&gt;=51,"H",IF(E16&lt;=19,"L","A")),IF(E16&lt;=50,"L","A"))),""))))</f>
        <v>78</v>
      </c>
      <c r="M16" t="s" s="136">
        <f>CONCATENATE(C16,D16)</f>
        <v>79</v>
      </c>
      <c r="N16" s="149">
        <f>IF(OR(K16="",K16=0),O16,K16)</f>
        <v>6</v>
      </c>
      <c r="O16" s="155">
        <f>_xlfn.IFERROR(IF(NOT(ISERROR(VLOOKUP(C16,'Deflatores Sisp'!G$42:H$70,2,FALSE))),VLOOKUP(C16,'Deflatores Sisp'!G$42:H$70,2,FALSE),IF(OR(ISBLANK(D16),ISBLANK(C16)),"",VLOOKUP(D16,'Deflatores Sisp'!G$4:H$38,2,FALSE)*K16+VLOOKUP(D16,'Deflatores Sisp'!G$4:I$38,3,FALSE)))*W16,"")</f>
        <v>5.7</v>
      </c>
      <c r="P16" t="s" s="156">
        <v>80</v>
      </c>
      <c r="Q16" t="s" s="136">
        <v>80</v>
      </c>
      <c r="R16" t="s" s="136">
        <v>80</v>
      </c>
      <c r="S16" t="s" s="136">
        <v>80</v>
      </c>
      <c r="T16" s="149"/>
      <c r="U16" t="s" s="136">
        <v>80</v>
      </c>
      <c r="V16" s="141"/>
      <c r="W16" s="142">
        <f>IF(V16="",SUM(Z16:AE16),IF(C16="PA",E16,100%))</f>
        <v>0.95</v>
      </c>
      <c r="X16" s="143"/>
      <c r="Y16" s="144"/>
      <c r="Z16" s="145">
        <f>IF(P16="x",25%,0)</f>
        <v>0.25</v>
      </c>
      <c r="AA16" s="145">
        <f>IF(Q16="x",10%,0)</f>
        <v>0.1</v>
      </c>
      <c r="AB16" s="145">
        <f>IF(R16="x",40%,0)</f>
        <v>0.4</v>
      </c>
      <c r="AC16" s="145">
        <f>IF(S16="x",15%,0)</f>
        <v>0.15</v>
      </c>
      <c r="AD16" s="145">
        <f>IF(T16="x",5%,0)</f>
        <v>0</v>
      </c>
      <c r="AE16" s="145">
        <f>IF(U16="x",5%,0)</f>
        <v>0.05</v>
      </c>
    </row>
    <row r="17" s="90" customFormat="1" ht="33" customHeight="1">
      <c r="A17" s="133"/>
      <c r="B17" t="s" s="157">
        <v>110</v>
      </c>
      <c r="C17" t="s" s="28">
        <v>85</v>
      </c>
      <c r="D17" t="s" s="28">
        <v>73</v>
      </c>
      <c r="E17" s="90">
        <v>12</v>
      </c>
      <c r="F17" t="s" s="28">
        <v>111</v>
      </c>
      <c r="G17" s="90">
        <v>5</v>
      </c>
      <c r="H17" t="s" s="158">
        <v>112</v>
      </c>
      <c r="I17" t="s" s="135">
        <f>IF(ISBLANK(C17),"",IF(L17="L","Baixa",IF(L17="A","Média",IF(L17="","","Alta"))))</f>
        <v>76</v>
      </c>
      <c r="J17" t="s" s="136">
        <f>CONCATENATE(C17,L17)</f>
        <v>88</v>
      </c>
      <c r="K17" s="154">
        <f>IF(ISBLANK(C17),"",IF(C17="ALI",IF(L17="L",7,IF(L17="A",10,15)),IF(C17="AIE",IF(L17="L",5,IF(L17="A",7,10)),IF(C17="SE",IF(L17="L",4,IF(L17="A",5,7)),IF(OR(C17="EE",C17="CE"),IF(L17="L",3,IF(L17="A",4,6)),0)))))</f>
        <v>7</v>
      </c>
      <c r="L17" t="s" s="137">
        <f>IF(OR(ISBLANK(E17),ISBLANK(G17)),IF(OR(C17="ALI",C17="AIE"),"L",IF(OR(C17="EE",C17="SE",C17="CE"),"A","")),IF(C17="EE",IF(G17&gt;=3,IF(E17&gt;=5,"H","A"),IF(G17&gt;=2,IF(E17&gt;=16,"H",IF(E17&lt;=4,"L","A")),IF(E17&lt;=15,"L","A"))),IF(OR(C17="SE",C17="CE"),IF(G17&gt;=4,IF(E17&gt;=6,"H","A"),IF(G17&gt;=2,IF(E17&gt;=20,"H",IF(E17&lt;=5,"L","A")),IF(E17&lt;=19,"L","A"))),IF(OR(C17="ALI",C17="AIE"),IF(G17&gt;=6,IF(E17&gt;=20,"H","A"),IF(G17&gt;=2,IF(E17&gt;=51,"H",IF(E17&lt;=19,"L","A")),IF(E17&lt;=50,"L","A"))),""))))</f>
        <v>78</v>
      </c>
      <c r="M17" t="s" s="136">
        <f>CONCATENATE(C17,D17)</f>
        <v>89</v>
      </c>
      <c r="N17" s="149">
        <f>IF(OR(K17="",K17=0),O17,K17)</f>
        <v>7</v>
      </c>
      <c r="O17" s="155">
        <f>_xlfn.IFERROR(IF(NOT(ISERROR(VLOOKUP(C17,'Deflatores Sisp'!G$42:H$70,2,FALSE))),VLOOKUP(C17,'Deflatores Sisp'!G$42:H$70,2,FALSE),IF(OR(ISBLANK(D17),ISBLANK(C17)),"",VLOOKUP(D17,'Deflatores Sisp'!G$4:H$38,2,FALSE)*K17+VLOOKUP(D17,'Deflatores Sisp'!G$4:I$38,3,FALSE)))*W17,"")</f>
        <v>6.65</v>
      </c>
      <c r="P17" t="s" s="156">
        <v>80</v>
      </c>
      <c r="Q17" t="s" s="136">
        <v>80</v>
      </c>
      <c r="R17" t="s" s="136">
        <v>80</v>
      </c>
      <c r="S17" t="s" s="136">
        <v>80</v>
      </c>
      <c r="T17" s="149"/>
      <c r="U17" t="s" s="136">
        <v>80</v>
      </c>
      <c r="V17" s="141"/>
      <c r="W17" s="142">
        <f>IF(V17="",SUM(Z17:AE17),IF(C17="PA",E17,100%))</f>
        <v>0.95</v>
      </c>
      <c r="X17" s="143"/>
      <c r="Y17" s="144"/>
      <c r="Z17" s="145">
        <f>IF(P17="x",25%,0)</f>
        <v>0.25</v>
      </c>
      <c r="AA17" s="145">
        <f>IF(Q17="x",10%,0)</f>
        <v>0.1</v>
      </c>
      <c r="AB17" s="145">
        <f>IF(R17="x",40%,0)</f>
        <v>0.4</v>
      </c>
      <c r="AC17" s="145">
        <f>IF(S17="x",15%,0)</f>
        <v>0.15</v>
      </c>
      <c r="AD17" s="145">
        <f>IF(T17="x",5%,0)</f>
        <v>0</v>
      </c>
      <c r="AE17" s="145">
        <f>IF(U17="x",5%,0)</f>
        <v>0.05</v>
      </c>
    </row>
    <row r="18" s="90" customFormat="1" ht="33" customHeight="1">
      <c r="A18" s="133"/>
      <c r="B18" t="s" s="157">
        <v>113</v>
      </c>
      <c r="C18" t="s" s="28">
        <v>91</v>
      </c>
      <c r="D18" t="s" s="28">
        <v>73</v>
      </c>
      <c r="E18" s="90">
        <v>12</v>
      </c>
      <c r="F18" t="s" s="28">
        <v>114</v>
      </c>
      <c r="G18" s="90">
        <v>5</v>
      </c>
      <c r="H18" t="s" s="158">
        <v>115</v>
      </c>
      <c r="I18" t="s" s="135">
        <f>IF(ISBLANK(C18),"",IF(L18="L","Baixa",IF(L18="A","Média",IF(L18="","","Alta"))))</f>
        <v>76</v>
      </c>
      <c r="J18" t="s" s="136">
        <f>CONCATENATE(C18,L18)</f>
        <v>94</v>
      </c>
      <c r="K18" s="154">
        <f>IF(ISBLANK(C18),"",IF(C18="ALI",IF(L18="L",7,IF(L18="A",10,15)),IF(C18="AIE",IF(L18="L",5,IF(L18="A",7,10)),IF(C18="SE",IF(L18="L",4,IF(L18="A",5,7)),IF(OR(C18="EE",C18="CE"),IF(L18="L",3,IF(L18="A",4,6)),0)))))</f>
        <v>6</v>
      </c>
      <c r="L18" t="s" s="137">
        <f>IF(OR(ISBLANK(E18),ISBLANK(G18)),IF(OR(C18="ALI",C18="AIE"),"L",IF(OR(C18="EE",C18="SE",C18="CE"),"A","")),IF(C18="EE",IF(G18&gt;=3,IF(E18&gt;=5,"H","A"),IF(G18&gt;=2,IF(E18&gt;=16,"H",IF(E18&lt;=4,"L","A")),IF(E18&lt;=15,"L","A"))),IF(OR(C18="SE",C18="CE"),IF(G18&gt;=4,IF(E18&gt;=6,"H","A"),IF(G18&gt;=2,IF(E18&gt;=20,"H",IF(E18&lt;=5,"L","A")),IF(E18&lt;=19,"L","A"))),IF(OR(C18="ALI",C18="AIE"),IF(G18&gt;=6,IF(E18&gt;=20,"H","A"),IF(G18&gt;=2,IF(E18&gt;=51,"H",IF(E18&lt;=19,"L","A")),IF(E18&lt;=50,"L","A"))),""))))</f>
        <v>78</v>
      </c>
      <c r="M18" t="s" s="136">
        <f>CONCATENATE(C18,D18)</f>
        <v>95</v>
      </c>
      <c r="N18" s="149">
        <f>IF(OR(K18="",K18=0),O18,K18)</f>
        <v>6</v>
      </c>
      <c r="O18" s="155">
        <f>_xlfn.IFERROR(IF(NOT(ISERROR(VLOOKUP(C18,'Deflatores Sisp'!G$42:H$70,2,FALSE))),VLOOKUP(C18,'Deflatores Sisp'!G$42:H$70,2,FALSE),IF(OR(ISBLANK(D18),ISBLANK(C18)),"",VLOOKUP(D18,'Deflatores Sisp'!G$4:H$38,2,FALSE)*K18+VLOOKUP(D18,'Deflatores Sisp'!G$4:I$38,3,FALSE)))*W18,"")</f>
        <v>5.7</v>
      </c>
      <c r="P18" t="s" s="156">
        <v>80</v>
      </c>
      <c r="Q18" t="s" s="136">
        <v>80</v>
      </c>
      <c r="R18" t="s" s="136">
        <v>80</v>
      </c>
      <c r="S18" t="s" s="136">
        <v>80</v>
      </c>
      <c r="T18" s="149"/>
      <c r="U18" t="s" s="136">
        <v>80</v>
      </c>
      <c r="V18" s="141"/>
      <c r="W18" s="142">
        <f>IF(V18="",SUM(Z18:AE18),IF(C18="PA",E18,100%))</f>
        <v>0.95</v>
      </c>
      <c r="X18" s="143"/>
      <c r="Y18" s="144"/>
      <c r="Z18" s="145">
        <f>IF(P18="x",25%,0)</f>
        <v>0.25</v>
      </c>
      <c r="AA18" s="145">
        <f>IF(Q18="x",10%,0)</f>
        <v>0.1</v>
      </c>
      <c r="AB18" s="145">
        <f>IF(R18="x",40%,0)</f>
        <v>0.4</v>
      </c>
      <c r="AC18" s="145">
        <f>IF(S18="x",15%,0)</f>
        <v>0.15</v>
      </c>
      <c r="AD18" s="145">
        <f>IF(T18="x",5%,0)</f>
        <v>0</v>
      </c>
      <c r="AE18" s="145">
        <f>IF(U18="x",5%,0)</f>
        <v>0.05</v>
      </c>
    </row>
    <row r="19" s="90" customFormat="1" ht="33" customHeight="1">
      <c r="A19" s="133"/>
      <c r="B19" t="s" s="157">
        <v>116</v>
      </c>
      <c r="C19" t="s" s="28">
        <v>91</v>
      </c>
      <c r="D19" t="s" s="28">
        <v>73</v>
      </c>
      <c r="E19" s="90">
        <v>10</v>
      </c>
      <c r="F19" t="s" s="28">
        <v>117</v>
      </c>
      <c r="G19" s="90">
        <v>5</v>
      </c>
      <c r="H19" t="s" s="158">
        <v>118</v>
      </c>
      <c r="I19" t="s" s="135">
        <f>IF(ISBLANK(C19),"",IF(L19="L","Baixa",IF(L19="A","Média",IF(L19="","","Alta"))))</f>
        <v>76</v>
      </c>
      <c r="J19" t="s" s="136">
        <f>CONCATENATE(C19,L19)</f>
        <v>94</v>
      </c>
      <c r="K19" s="154">
        <f>IF(ISBLANK(C19),"",IF(C19="ALI",IF(L19="L",7,IF(L19="A",10,15)),IF(C19="AIE",IF(L19="L",5,IF(L19="A",7,10)),IF(C19="SE",IF(L19="L",4,IF(L19="A",5,7)),IF(OR(C19="EE",C19="CE"),IF(L19="L",3,IF(L19="A",4,6)),0)))))</f>
        <v>6</v>
      </c>
      <c r="L19" t="s" s="137">
        <f>IF(OR(ISBLANK(E19),ISBLANK(G19)),IF(OR(C19="ALI",C19="AIE"),"L",IF(OR(C19="EE",C19="SE",C19="CE"),"A","")),IF(C19="EE",IF(G19&gt;=3,IF(E19&gt;=5,"H","A"),IF(G19&gt;=2,IF(E19&gt;=16,"H",IF(E19&lt;=4,"L","A")),IF(E19&lt;=15,"L","A"))),IF(OR(C19="SE",C19="CE"),IF(G19&gt;=4,IF(E19&gt;=6,"H","A"),IF(G19&gt;=2,IF(E19&gt;=20,"H",IF(E19&lt;=5,"L","A")),IF(E19&lt;=19,"L","A"))),IF(OR(C19="ALI",C19="AIE"),IF(G19&gt;=6,IF(E19&gt;=20,"H","A"),IF(G19&gt;=2,IF(E19&gt;=51,"H",IF(E19&lt;=19,"L","A")),IF(E19&lt;=50,"L","A"))),""))))</f>
        <v>78</v>
      </c>
      <c r="M19" t="s" s="136">
        <f>CONCATENATE(C19,D19)</f>
        <v>95</v>
      </c>
      <c r="N19" s="149">
        <f>IF(OR(K19="",K19=0),O19,K19)</f>
        <v>6</v>
      </c>
      <c r="O19" s="155">
        <f>_xlfn.IFERROR(IF(NOT(ISERROR(VLOOKUP(C19,'Deflatores Sisp'!G$42:H$70,2,FALSE))),VLOOKUP(C19,'Deflatores Sisp'!G$42:H$70,2,FALSE),IF(OR(ISBLANK(D19),ISBLANK(C19)),"",VLOOKUP(D19,'Deflatores Sisp'!G$4:H$38,2,FALSE)*K19+VLOOKUP(D19,'Deflatores Sisp'!G$4:I$38,3,FALSE)))*W19,"")</f>
        <v>5.7</v>
      </c>
      <c r="P19" t="s" s="156">
        <v>80</v>
      </c>
      <c r="Q19" t="s" s="136">
        <v>80</v>
      </c>
      <c r="R19" t="s" s="136">
        <v>80</v>
      </c>
      <c r="S19" t="s" s="136">
        <v>80</v>
      </c>
      <c r="T19" s="149"/>
      <c r="U19" t="s" s="136">
        <v>80</v>
      </c>
      <c r="V19" s="141"/>
      <c r="W19" s="142">
        <f>IF(V19="",SUM(Z19:AE19),IF(C19="PA",E19,100%))</f>
        <v>0.95</v>
      </c>
      <c r="X19" s="143"/>
      <c r="Y19" s="144"/>
      <c r="Z19" s="145">
        <f>IF(P19="x",25%,0)</f>
        <v>0.25</v>
      </c>
      <c r="AA19" s="145">
        <f>IF(Q19="x",10%,0)</f>
        <v>0.1</v>
      </c>
      <c r="AB19" s="145">
        <f>IF(R19="x",40%,0)</f>
        <v>0.4</v>
      </c>
      <c r="AC19" s="145">
        <f>IF(S19="x",15%,0)</f>
        <v>0.15</v>
      </c>
      <c r="AD19" s="145">
        <f>IF(T19="x",5%,0)</f>
        <v>0</v>
      </c>
      <c r="AE19" s="145">
        <f>IF(U19="x",5%,0)</f>
        <v>0.05</v>
      </c>
    </row>
    <row r="20" s="90" customFormat="1" ht="33" customHeight="1">
      <c r="A20" s="133"/>
      <c r="B20" t="s" s="157">
        <v>119</v>
      </c>
      <c r="C20" t="s" s="28">
        <v>91</v>
      </c>
      <c r="D20" t="s" s="28">
        <v>73</v>
      </c>
      <c r="E20" s="90">
        <v>12</v>
      </c>
      <c r="F20" t="s" s="28">
        <v>120</v>
      </c>
      <c r="G20" s="90">
        <v>5</v>
      </c>
      <c r="H20" t="s" s="158">
        <v>121</v>
      </c>
      <c r="I20" t="s" s="135">
        <f>IF(ISBLANK(C20),"",IF(L20="L","Baixa",IF(L20="A","Média",IF(L20="","","Alta"))))</f>
        <v>76</v>
      </c>
      <c r="J20" t="s" s="136">
        <f>CONCATENATE(C20,L20)</f>
        <v>94</v>
      </c>
      <c r="K20" s="154">
        <f>IF(ISBLANK(C20),"",IF(C20="ALI",IF(L20="L",7,IF(L20="A",10,15)),IF(C20="AIE",IF(L20="L",5,IF(L20="A",7,10)),IF(C20="SE",IF(L20="L",4,IF(L20="A",5,7)),IF(OR(C20="EE",C20="CE"),IF(L20="L",3,IF(L20="A",4,6)),0)))))</f>
        <v>6</v>
      </c>
      <c r="L20" t="s" s="137">
        <f>IF(OR(ISBLANK(E20),ISBLANK(G20)),IF(OR(C20="ALI",C20="AIE"),"L",IF(OR(C20="EE",C20="SE",C20="CE"),"A","")),IF(C20="EE",IF(G20&gt;=3,IF(E20&gt;=5,"H","A"),IF(G20&gt;=2,IF(E20&gt;=16,"H",IF(E20&lt;=4,"L","A")),IF(E20&lt;=15,"L","A"))),IF(OR(C20="SE",C20="CE"),IF(G20&gt;=4,IF(E20&gt;=6,"H","A"),IF(G20&gt;=2,IF(E20&gt;=20,"H",IF(E20&lt;=5,"L","A")),IF(E20&lt;=19,"L","A"))),IF(OR(C20="ALI",C20="AIE"),IF(G20&gt;=6,IF(E20&gt;=20,"H","A"),IF(G20&gt;=2,IF(E20&gt;=51,"H",IF(E20&lt;=19,"L","A")),IF(E20&lt;=50,"L","A"))),""))))</f>
        <v>78</v>
      </c>
      <c r="M20" t="s" s="136">
        <f>CONCATENATE(C20,D20)</f>
        <v>95</v>
      </c>
      <c r="N20" s="149">
        <f>IF(OR(K20="",K20=0),O20,K20)</f>
        <v>6</v>
      </c>
      <c r="O20" s="155">
        <f>_xlfn.IFERROR(IF(NOT(ISERROR(VLOOKUP(C20,'Deflatores Sisp'!G$42:H$70,2,FALSE))),VLOOKUP(C20,'Deflatores Sisp'!G$42:H$70,2,FALSE),IF(OR(ISBLANK(D20),ISBLANK(C20)),"",VLOOKUP(D20,'Deflatores Sisp'!G$4:H$38,2,FALSE)*K20+VLOOKUP(D20,'Deflatores Sisp'!G$4:I$38,3,FALSE)))*W20,"")</f>
        <v>5.7</v>
      </c>
      <c r="P20" t="s" s="156">
        <v>80</v>
      </c>
      <c r="Q20" t="s" s="136">
        <v>80</v>
      </c>
      <c r="R20" t="s" s="136">
        <v>80</v>
      </c>
      <c r="S20" t="s" s="136">
        <v>80</v>
      </c>
      <c r="T20" s="149"/>
      <c r="U20" t="s" s="136">
        <v>80</v>
      </c>
      <c r="V20" s="141"/>
      <c r="W20" s="142">
        <f>IF(V20="",SUM(Z20:AE20),IF(C20="PA",E20,100%))</f>
        <v>0.95</v>
      </c>
      <c r="X20" s="143"/>
      <c r="Y20" s="144"/>
      <c r="Z20" s="145">
        <f>IF(P20="x",25%,0)</f>
        <v>0.25</v>
      </c>
      <c r="AA20" s="145">
        <f>IF(Q20="x",10%,0)</f>
        <v>0.1</v>
      </c>
      <c r="AB20" s="145">
        <f>IF(R20="x",40%,0)</f>
        <v>0.4</v>
      </c>
      <c r="AC20" s="145">
        <f>IF(S20="x",15%,0)</f>
        <v>0.15</v>
      </c>
      <c r="AD20" s="145">
        <f>IF(T20="x",5%,0)</f>
        <v>0</v>
      </c>
      <c r="AE20" s="145">
        <f>IF(U20="x",5%,0)</f>
        <v>0.05</v>
      </c>
    </row>
    <row r="21" s="90" customFormat="1" ht="33" customHeight="1">
      <c r="A21" s="133"/>
      <c r="B21" t="s" s="157">
        <v>122</v>
      </c>
      <c r="C21" t="s" s="28">
        <v>91</v>
      </c>
      <c r="D21" t="s" s="28">
        <v>73</v>
      </c>
      <c r="E21" s="90">
        <v>10</v>
      </c>
      <c r="F21" t="s" s="28">
        <v>123</v>
      </c>
      <c r="G21" s="90">
        <v>4</v>
      </c>
      <c r="H21" t="s" s="158">
        <v>124</v>
      </c>
      <c r="I21" t="s" s="135">
        <f>IF(ISBLANK(C21),"",IF(L21="L","Baixa",IF(L21="A","Média",IF(L21="","","Alta"))))</f>
        <v>76</v>
      </c>
      <c r="J21" t="s" s="136">
        <f>CONCATENATE(C21,L21)</f>
        <v>94</v>
      </c>
      <c r="K21" s="154">
        <f>IF(ISBLANK(C21),"",IF(C21="ALI",IF(L21="L",7,IF(L21="A",10,15)),IF(C21="AIE",IF(L21="L",5,IF(L21="A",7,10)),IF(C21="SE",IF(L21="L",4,IF(L21="A",5,7)),IF(OR(C21="EE",C21="CE"),IF(L21="L",3,IF(L21="A",4,6)),0)))))</f>
        <v>6</v>
      </c>
      <c r="L21" t="s" s="137">
        <f>IF(OR(ISBLANK(E21),ISBLANK(G21)),IF(OR(C21="ALI",C21="AIE"),"L",IF(OR(C21="EE",C21="SE",C21="CE"),"A","")),IF(C21="EE",IF(G21&gt;=3,IF(E21&gt;=5,"H","A"),IF(G21&gt;=2,IF(E21&gt;=16,"H",IF(E21&lt;=4,"L","A")),IF(E21&lt;=15,"L","A"))),IF(OR(C21="SE",C21="CE"),IF(G21&gt;=4,IF(E21&gt;=6,"H","A"),IF(G21&gt;=2,IF(E21&gt;=20,"H",IF(E21&lt;=5,"L","A")),IF(E21&lt;=19,"L","A"))),IF(OR(C21="ALI",C21="AIE"),IF(G21&gt;=6,IF(E21&gt;=20,"H","A"),IF(G21&gt;=2,IF(E21&gt;=51,"H",IF(E21&lt;=19,"L","A")),IF(E21&lt;=50,"L","A"))),""))))</f>
        <v>78</v>
      </c>
      <c r="M21" t="s" s="136">
        <f>CONCATENATE(C21,D21)</f>
        <v>95</v>
      </c>
      <c r="N21" s="149">
        <f>IF(OR(K21="",K21=0),O21,K21)</f>
        <v>6</v>
      </c>
      <c r="O21" s="155">
        <f>_xlfn.IFERROR(IF(NOT(ISERROR(VLOOKUP(C21,'Deflatores Sisp'!G$42:H$70,2,FALSE))),VLOOKUP(C21,'Deflatores Sisp'!G$42:H$70,2,FALSE),IF(OR(ISBLANK(D21),ISBLANK(C21)),"",VLOOKUP(D21,'Deflatores Sisp'!G$4:H$38,2,FALSE)*K21+VLOOKUP(D21,'Deflatores Sisp'!G$4:I$38,3,FALSE)))*W21,"")</f>
        <v>5.7</v>
      </c>
      <c r="P21" t="s" s="156">
        <v>80</v>
      </c>
      <c r="Q21" t="s" s="136">
        <v>80</v>
      </c>
      <c r="R21" t="s" s="136">
        <v>80</v>
      </c>
      <c r="S21" t="s" s="136">
        <v>80</v>
      </c>
      <c r="T21" s="149"/>
      <c r="U21" t="s" s="136">
        <v>80</v>
      </c>
      <c r="V21" s="141"/>
      <c r="W21" s="142">
        <f>IF(V21="",SUM(Z21:AE21),IF(C21="PA",E21,100%))</f>
        <v>0.95</v>
      </c>
      <c r="X21" s="143"/>
      <c r="Y21" s="144"/>
      <c r="Z21" s="145">
        <f>IF(P21="x",25%,0)</f>
        <v>0.25</v>
      </c>
      <c r="AA21" s="145">
        <f>IF(Q21="x",10%,0)</f>
        <v>0.1</v>
      </c>
      <c r="AB21" s="145">
        <f>IF(R21="x",40%,0)</f>
        <v>0.4</v>
      </c>
      <c r="AC21" s="145">
        <f>IF(S21="x",15%,0)</f>
        <v>0.15</v>
      </c>
      <c r="AD21" s="145">
        <f>IF(T21="x",5%,0)</f>
        <v>0</v>
      </c>
      <c r="AE21" s="145">
        <f>IF(U21="x",5%,0)</f>
        <v>0.05</v>
      </c>
    </row>
    <row r="22" s="90" customFormat="1" ht="33" customHeight="1">
      <c r="A22" s="133"/>
      <c r="B22" t="s" s="157">
        <v>125</v>
      </c>
      <c r="C22" t="s" s="28">
        <v>91</v>
      </c>
      <c r="D22" t="s" s="28">
        <v>73</v>
      </c>
      <c r="E22" s="90">
        <v>8</v>
      </c>
      <c r="F22" t="s" s="28">
        <v>126</v>
      </c>
      <c r="G22" s="90">
        <v>4</v>
      </c>
      <c r="H22" t="s" s="158">
        <v>127</v>
      </c>
      <c r="I22" t="s" s="135">
        <f>IF(ISBLANK(C22),"",IF(L22="L","Baixa",IF(L22="A","Média",IF(L22="","","Alta"))))</f>
        <v>76</v>
      </c>
      <c r="J22" t="s" s="136">
        <f>CONCATENATE(C22,L22)</f>
        <v>94</v>
      </c>
      <c r="K22" s="154">
        <f>IF(ISBLANK(C22),"",IF(C22="ALI",IF(L22="L",7,IF(L22="A",10,15)),IF(C22="AIE",IF(L22="L",5,IF(L22="A",7,10)),IF(C22="SE",IF(L22="L",4,IF(L22="A",5,7)),IF(OR(C22="EE",C22="CE"),IF(L22="L",3,IF(L22="A",4,6)),0)))))</f>
        <v>6</v>
      </c>
      <c r="L22" t="s" s="137">
        <f>IF(OR(ISBLANK(E22),ISBLANK(G22)),IF(OR(C22="ALI",C22="AIE"),"L",IF(OR(C22="EE",C22="SE",C22="CE"),"A","")),IF(C22="EE",IF(G22&gt;=3,IF(E22&gt;=5,"H","A"),IF(G22&gt;=2,IF(E22&gt;=16,"H",IF(E22&lt;=4,"L","A")),IF(E22&lt;=15,"L","A"))),IF(OR(C22="SE",C22="CE"),IF(G22&gt;=4,IF(E22&gt;=6,"H","A"),IF(G22&gt;=2,IF(E22&gt;=20,"H",IF(E22&lt;=5,"L","A")),IF(E22&lt;=19,"L","A"))),IF(OR(C22="ALI",C22="AIE"),IF(G22&gt;=6,IF(E22&gt;=20,"H","A"),IF(G22&gt;=2,IF(E22&gt;=51,"H",IF(E22&lt;=19,"L","A")),IF(E22&lt;=50,"L","A"))),""))))</f>
        <v>78</v>
      </c>
      <c r="M22" t="s" s="136">
        <f>CONCATENATE(C22,D22)</f>
        <v>95</v>
      </c>
      <c r="N22" s="149">
        <f>IF(OR(K22="",K22=0),O22,K22)</f>
        <v>6</v>
      </c>
      <c r="O22" s="155">
        <f>_xlfn.IFERROR(IF(NOT(ISERROR(VLOOKUP(C22,'Deflatores Sisp'!G$42:H$70,2,FALSE))),VLOOKUP(C22,'Deflatores Sisp'!G$42:H$70,2,FALSE),IF(OR(ISBLANK(D22),ISBLANK(C22)),"",VLOOKUP(D22,'Deflatores Sisp'!G$4:H$38,2,FALSE)*K22+VLOOKUP(D22,'Deflatores Sisp'!G$4:I$38,3,FALSE)))*W22,"")</f>
        <v>5.7</v>
      </c>
      <c r="P22" t="s" s="156">
        <v>80</v>
      </c>
      <c r="Q22" t="s" s="136">
        <v>80</v>
      </c>
      <c r="R22" t="s" s="136">
        <v>80</v>
      </c>
      <c r="S22" t="s" s="136">
        <v>80</v>
      </c>
      <c r="T22" s="149"/>
      <c r="U22" t="s" s="136">
        <v>80</v>
      </c>
      <c r="V22" s="141"/>
      <c r="W22" s="142">
        <f>IF(V22="",SUM(Z22:AE22),IF(C22="PA",E22,100%))</f>
        <v>0.95</v>
      </c>
      <c r="X22" s="143"/>
      <c r="Y22" s="144"/>
      <c r="Z22" s="145">
        <f>IF(P22="x",25%,0)</f>
        <v>0.25</v>
      </c>
      <c r="AA22" s="145">
        <f>IF(Q22="x",10%,0)</f>
        <v>0.1</v>
      </c>
      <c r="AB22" s="145">
        <f>IF(R22="x",40%,0)</f>
        <v>0.4</v>
      </c>
      <c r="AC22" s="145">
        <f>IF(S22="x",15%,0)</f>
        <v>0.15</v>
      </c>
      <c r="AD22" s="145">
        <f>IF(T22="x",5%,0)</f>
        <v>0</v>
      </c>
      <c r="AE22" s="145">
        <f>IF(U22="x",5%,0)</f>
        <v>0.05</v>
      </c>
    </row>
    <row r="23" s="90" customFormat="1" ht="33" customHeight="1">
      <c r="A23" s="133"/>
      <c r="B23" t="s" s="157">
        <v>128</v>
      </c>
      <c r="C23" t="s" s="28">
        <v>91</v>
      </c>
      <c r="D23" t="s" s="28">
        <v>73</v>
      </c>
      <c r="E23" s="90">
        <v>10</v>
      </c>
      <c r="F23" t="s" s="28">
        <v>129</v>
      </c>
      <c r="G23" s="90">
        <v>4</v>
      </c>
      <c r="H23" t="s" s="158">
        <v>130</v>
      </c>
      <c r="I23" t="s" s="135">
        <f>IF(ISBLANK(C23),"",IF(L23="L","Baixa",IF(L23="A","Média",IF(L23="","","Alta"))))</f>
        <v>76</v>
      </c>
      <c r="J23" t="s" s="136">
        <f>CONCATENATE(C23,L23)</f>
        <v>94</v>
      </c>
      <c r="K23" s="154">
        <f>IF(ISBLANK(C23),"",IF(C23="ALI",IF(L23="L",7,IF(L23="A",10,15)),IF(C23="AIE",IF(L23="L",5,IF(L23="A",7,10)),IF(C23="SE",IF(L23="L",4,IF(L23="A",5,7)),IF(OR(C23="EE",C23="CE"),IF(L23="L",3,IF(L23="A",4,6)),0)))))</f>
        <v>6</v>
      </c>
      <c r="L23" t="s" s="137">
        <f>IF(OR(ISBLANK(E23),ISBLANK(G23)),IF(OR(C23="ALI",C23="AIE"),"L",IF(OR(C23="EE",C23="SE",C23="CE"),"A","")),IF(C23="EE",IF(G23&gt;=3,IF(E23&gt;=5,"H","A"),IF(G23&gt;=2,IF(E23&gt;=16,"H",IF(E23&lt;=4,"L","A")),IF(E23&lt;=15,"L","A"))),IF(OR(C23="SE",C23="CE"),IF(G23&gt;=4,IF(E23&gt;=6,"H","A"),IF(G23&gt;=2,IF(E23&gt;=20,"H",IF(E23&lt;=5,"L","A")),IF(E23&lt;=19,"L","A"))),IF(OR(C23="ALI",C23="AIE"),IF(G23&gt;=6,IF(E23&gt;=20,"H","A"),IF(G23&gt;=2,IF(E23&gt;=51,"H",IF(E23&lt;=19,"L","A")),IF(E23&lt;=50,"L","A"))),""))))</f>
        <v>78</v>
      </c>
      <c r="M23" t="s" s="136">
        <f>CONCATENATE(C23,D23)</f>
        <v>95</v>
      </c>
      <c r="N23" s="149">
        <f>IF(OR(K23="",K23=0),O23,K23)</f>
        <v>6</v>
      </c>
      <c r="O23" s="155">
        <f>_xlfn.IFERROR(IF(NOT(ISERROR(VLOOKUP(C23,'Deflatores Sisp'!G$42:H$70,2,FALSE))),VLOOKUP(C23,'Deflatores Sisp'!G$42:H$70,2,FALSE),IF(OR(ISBLANK(D23),ISBLANK(C23)),"",VLOOKUP(D23,'Deflatores Sisp'!G$4:H$38,2,FALSE)*K23+VLOOKUP(D23,'Deflatores Sisp'!G$4:I$38,3,FALSE)))*W23,"")</f>
        <v>5.7</v>
      </c>
      <c r="P23" t="s" s="156">
        <v>80</v>
      </c>
      <c r="Q23" t="s" s="136">
        <v>80</v>
      </c>
      <c r="R23" t="s" s="136">
        <v>80</v>
      </c>
      <c r="S23" t="s" s="136">
        <v>80</v>
      </c>
      <c r="T23" s="149"/>
      <c r="U23" t="s" s="136">
        <v>80</v>
      </c>
      <c r="V23" s="141"/>
      <c r="W23" s="142">
        <f>IF(V23="",SUM(Z23:AE23),IF(C23="PA",E23,100%))</f>
        <v>0.95</v>
      </c>
      <c r="X23" s="143"/>
      <c r="Y23" s="144"/>
      <c r="Z23" s="145">
        <f>IF(P23="x",25%,0)</f>
        <v>0.25</v>
      </c>
      <c r="AA23" s="145">
        <f>IF(Q23="x",10%,0)</f>
        <v>0.1</v>
      </c>
      <c r="AB23" s="145">
        <f>IF(R23="x",40%,0)</f>
        <v>0.4</v>
      </c>
      <c r="AC23" s="145">
        <f>IF(S23="x",15%,0)</f>
        <v>0.15</v>
      </c>
      <c r="AD23" s="145">
        <f>IF(T23="x",5%,0)</f>
        <v>0</v>
      </c>
      <c r="AE23" s="145">
        <f>IF(U23="x",5%,0)</f>
        <v>0.05</v>
      </c>
    </row>
    <row r="24" s="90" customFormat="1" ht="33" customHeight="1">
      <c r="A24" s="133"/>
      <c r="B24" t="s" s="157">
        <v>131</v>
      </c>
      <c r="C24" t="s" s="28">
        <v>91</v>
      </c>
      <c r="D24" t="s" s="28">
        <v>73</v>
      </c>
      <c r="E24" s="90">
        <v>8</v>
      </c>
      <c r="F24" t="s" s="28">
        <v>132</v>
      </c>
      <c r="G24" s="90">
        <v>4</v>
      </c>
      <c r="H24" t="s" s="158">
        <v>133</v>
      </c>
      <c r="I24" t="s" s="135">
        <f>IF(ISBLANK(C24),"",IF(L24="L","Baixa",IF(L24="A","Média",IF(L24="","","Alta"))))</f>
        <v>76</v>
      </c>
      <c r="J24" t="s" s="136">
        <f>CONCATENATE(C24,L24)</f>
        <v>94</v>
      </c>
      <c r="K24" s="154">
        <f>IF(ISBLANK(C24),"",IF(C24="ALI",IF(L24="L",7,IF(L24="A",10,15)),IF(C24="AIE",IF(L24="L",5,IF(L24="A",7,10)),IF(C24="SE",IF(L24="L",4,IF(L24="A",5,7)),IF(OR(C24="EE",C24="CE"),IF(L24="L",3,IF(L24="A",4,6)),0)))))</f>
        <v>6</v>
      </c>
      <c r="L24" t="s" s="137">
        <f>IF(OR(ISBLANK(E24),ISBLANK(G24)),IF(OR(C24="ALI",C24="AIE"),"L",IF(OR(C24="EE",C24="SE",C24="CE"),"A","")),IF(C24="EE",IF(G24&gt;=3,IF(E24&gt;=5,"H","A"),IF(G24&gt;=2,IF(E24&gt;=16,"H",IF(E24&lt;=4,"L","A")),IF(E24&lt;=15,"L","A"))),IF(OR(C24="SE",C24="CE"),IF(G24&gt;=4,IF(E24&gt;=6,"H","A"),IF(G24&gt;=2,IF(E24&gt;=20,"H",IF(E24&lt;=5,"L","A")),IF(E24&lt;=19,"L","A"))),IF(OR(C24="ALI",C24="AIE"),IF(G24&gt;=6,IF(E24&gt;=20,"H","A"),IF(G24&gt;=2,IF(E24&gt;=51,"H",IF(E24&lt;=19,"L","A")),IF(E24&lt;=50,"L","A"))),""))))</f>
        <v>78</v>
      </c>
      <c r="M24" t="s" s="136">
        <f>CONCATENATE(C24,D24)</f>
        <v>95</v>
      </c>
      <c r="N24" s="149">
        <f>IF(OR(K24="",K24=0),O24,K24)</f>
        <v>6</v>
      </c>
      <c r="O24" s="155">
        <f>_xlfn.IFERROR(IF(NOT(ISERROR(VLOOKUP(C24,'Deflatores Sisp'!G$42:H$70,2,FALSE))),VLOOKUP(C24,'Deflatores Sisp'!G$42:H$70,2,FALSE),IF(OR(ISBLANK(D24),ISBLANK(C24)),"",VLOOKUP(D24,'Deflatores Sisp'!G$4:H$38,2,FALSE)*K24+VLOOKUP(D24,'Deflatores Sisp'!G$4:I$38,3,FALSE)))*W24,"")</f>
        <v>5.7</v>
      </c>
      <c r="P24" t="s" s="156">
        <v>80</v>
      </c>
      <c r="Q24" t="s" s="136">
        <v>80</v>
      </c>
      <c r="R24" t="s" s="136">
        <v>80</v>
      </c>
      <c r="S24" t="s" s="136">
        <v>80</v>
      </c>
      <c r="T24" s="149"/>
      <c r="U24" t="s" s="136">
        <v>80</v>
      </c>
      <c r="V24" s="141"/>
      <c r="W24" s="142">
        <f>IF(V24="",SUM(Z24:AE24),IF(C24="PA",E24,100%))</f>
        <v>0.95</v>
      </c>
      <c r="X24" s="143"/>
      <c r="Y24" s="144"/>
      <c r="Z24" s="145">
        <f>IF(P24="x",25%,0)</f>
        <v>0.25</v>
      </c>
      <c r="AA24" s="145">
        <f>IF(Q24="x",10%,0)</f>
        <v>0.1</v>
      </c>
      <c r="AB24" s="145">
        <f>IF(R24="x",40%,0)</f>
        <v>0.4</v>
      </c>
      <c r="AC24" s="145">
        <f>IF(S24="x",15%,0)</f>
        <v>0.15</v>
      </c>
      <c r="AD24" s="145">
        <f>IF(T24="x",5%,0)</f>
        <v>0</v>
      </c>
      <c r="AE24" s="145">
        <f>IF(U24="x",5%,0)</f>
        <v>0.05</v>
      </c>
    </row>
    <row r="25" s="90" customFormat="1" ht="33" customHeight="1">
      <c r="A25" s="133"/>
      <c r="B25" t="s" s="157">
        <v>134</v>
      </c>
      <c r="C25" t="s" s="28">
        <v>72</v>
      </c>
      <c r="D25" t="s" s="28">
        <v>73</v>
      </c>
      <c r="E25" s="90">
        <v>14</v>
      </c>
      <c r="F25" t="s" s="28">
        <v>135</v>
      </c>
      <c r="G25" s="90">
        <v>5</v>
      </c>
      <c r="H25" t="s" s="158">
        <v>136</v>
      </c>
      <c r="I25" t="s" s="135">
        <f>IF(ISBLANK(C25),"",IF(L25="L","Baixa",IF(L25="A","Média",IF(L25="","","Alta"))))</f>
        <v>76</v>
      </c>
      <c r="J25" t="s" s="136">
        <f>CONCATENATE(C25,L25)</f>
        <v>77</v>
      </c>
      <c r="K25" s="154">
        <f>IF(ISBLANK(C25),"",IF(C25="ALI",IF(L25="L",7,IF(L25="A",10,15)),IF(C25="AIE",IF(L25="L",5,IF(L25="A",7,10)),IF(C25="SE",IF(L25="L",4,IF(L25="A",5,7)),IF(OR(C25="EE",C25="CE"),IF(L25="L",3,IF(L25="A",4,6)),0)))))</f>
        <v>6</v>
      </c>
      <c r="L25" t="s" s="137">
        <f>IF(OR(ISBLANK(E25),ISBLANK(G25)),IF(OR(C25="ALI",C25="AIE"),"L",IF(OR(C25="EE",C25="SE",C25="CE"),"A","")),IF(C25="EE",IF(G25&gt;=3,IF(E25&gt;=5,"H","A"),IF(G25&gt;=2,IF(E25&gt;=16,"H",IF(E25&lt;=4,"L","A")),IF(E25&lt;=15,"L","A"))),IF(OR(C25="SE",C25="CE"),IF(G25&gt;=4,IF(E25&gt;=6,"H","A"),IF(G25&gt;=2,IF(E25&gt;=20,"H",IF(E25&lt;=5,"L","A")),IF(E25&lt;=19,"L","A"))),IF(OR(C25="ALI",C25="AIE"),IF(G25&gt;=6,IF(E25&gt;=20,"H","A"),IF(G25&gt;=2,IF(E25&gt;=51,"H",IF(E25&lt;=19,"L","A")),IF(E25&lt;=50,"L","A"))),""))))</f>
        <v>78</v>
      </c>
      <c r="M25" t="s" s="136">
        <f>CONCATENATE(C25,D25)</f>
        <v>79</v>
      </c>
      <c r="N25" s="149">
        <f>IF(OR(K25="",K25=0),O25,K25)</f>
        <v>6</v>
      </c>
      <c r="O25" s="155">
        <f>_xlfn.IFERROR(IF(NOT(ISERROR(VLOOKUP(C25,'Deflatores Sisp'!G$42:H$70,2,FALSE))),VLOOKUP(C25,'Deflatores Sisp'!G$42:H$70,2,FALSE),IF(OR(ISBLANK(D25),ISBLANK(C25)),"",VLOOKUP(D25,'Deflatores Sisp'!G$4:H$38,2,FALSE)*K25+VLOOKUP(D25,'Deflatores Sisp'!G$4:I$38,3,FALSE)))*W25,"")</f>
        <v>5.7</v>
      </c>
      <c r="P25" t="s" s="156">
        <v>80</v>
      </c>
      <c r="Q25" t="s" s="136">
        <v>80</v>
      </c>
      <c r="R25" t="s" s="136">
        <v>80</v>
      </c>
      <c r="S25" t="s" s="136">
        <v>80</v>
      </c>
      <c r="T25" s="149"/>
      <c r="U25" t="s" s="136">
        <v>80</v>
      </c>
      <c r="V25" s="141"/>
      <c r="W25" s="142">
        <f>IF(V25="",SUM(Z25:AE25),IF(C25="PA",E25,100%))</f>
        <v>0.95</v>
      </c>
      <c r="X25" s="143"/>
      <c r="Y25" s="144"/>
      <c r="Z25" s="145">
        <f>IF(P25="x",25%,0)</f>
        <v>0.25</v>
      </c>
      <c r="AA25" s="145">
        <f>IF(Q25="x",10%,0)</f>
        <v>0.1</v>
      </c>
      <c r="AB25" s="145">
        <f>IF(R25="x",40%,0)</f>
        <v>0.4</v>
      </c>
      <c r="AC25" s="145">
        <f>IF(S25="x",15%,0)</f>
        <v>0.15</v>
      </c>
      <c r="AD25" s="145">
        <f>IF(T25="x",5%,0)</f>
        <v>0</v>
      </c>
      <c r="AE25" s="145">
        <f>IF(U25="x",5%,0)</f>
        <v>0.05</v>
      </c>
    </row>
    <row r="26" s="90" customFormat="1" ht="33" customHeight="1">
      <c r="A26" s="133"/>
      <c r="B26" t="s" s="159">
        <v>137</v>
      </c>
      <c r="C26" t="s" s="28">
        <v>91</v>
      </c>
      <c r="D26" t="s" s="28">
        <v>73</v>
      </c>
      <c r="E26" s="90">
        <v>8</v>
      </c>
      <c r="F26" t="s" s="160">
        <v>138</v>
      </c>
      <c r="G26" s="90">
        <v>4</v>
      </c>
      <c r="H26" t="s" s="161">
        <v>139</v>
      </c>
      <c r="I26" t="s" s="135">
        <f>IF(ISBLANK(C26),"",IF(L26="L","Baixa",IF(L26="A","Média",IF(L26="","","Alta"))))</f>
        <v>76</v>
      </c>
      <c r="J26" t="s" s="136">
        <f>CONCATENATE(C26,L26)</f>
        <v>94</v>
      </c>
      <c r="K26" s="154">
        <f>IF(ISBLANK(C26),"",IF(C26="ALI",IF(L26="L",7,IF(L26="A",10,15)),IF(C26="AIE",IF(L26="L",5,IF(L26="A",7,10)),IF(C26="SE",IF(L26="L",4,IF(L26="A",5,7)),IF(OR(C26="EE",C26="CE"),IF(L26="L",3,IF(L26="A",4,6)),0)))))</f>
        <v>6</v>
      </c>
      <c r="L26" t="s" s="137">
        <f>IF(OR(ISBLANK(E26),ISBLANK(G26)),IF(OR(C26="ALI",C26="AIE"),"L",IF(OR(C26="EE",C26="SE",C26="CE"),"A","")),IF(C26="EE",IF(G26&gt;=3,IF(E26&gt;=5,"H","A"),IF(G26&gt;=2,IF(E26&gt;=16,"H",IF(E26&lt;=4,"L","A")),IF(E26&lt;=15,"L","A"))),IF(OR(C26="SE",C26="CE"),IF(G26&gt;=4,IF(E26&gt;=6,"H","A"),IF(G26&gt;=2,IF(E26&gt;=20,"H",IF(E26&lt;=5,"L","A")),IF(E26&lt;=19,"L","A"))),IF(OR(C26="ALI",C26="AIE"),IF(G26&gt;=6,IF(E26&gt;=20,"H","A"),IF(G26&gt;=2,IF(E26&gt;=51,"H",IF(E26&lt;=19,"L","A")),IF(E26&lt;=50,"L","A"))),""))))</f>
        <v>78</v>
      </c>
      <c r="M26" t="s" s="136">
        <f>CONCATENATE(C26,D26)</f>
        <v>95</v>
      </c>
      <c r="N26" s="149">
        <f>IF(OR(K26="",K26=0),O26,K26)</f>
        <v>6</v>
      </c>
      <c r="O26" s="155">
        <f>_xlfn.IFERROR(IF(NOT(ISERROR(VLOOKUP(C26,'Deflatores Sisp'!G$42:H$70,2,FALSE))),VLOOKUP(C26,'Deflatores Sisp'!G$42:H$70,2,FALSE),IF(OR(ISBLANK(D26),ISBLANK(C26)),"",VLOOKUP(D26,'Deflatores Sisp'!G$4:H$38,2,FALSE)*K26+VLOOKUP(D26,'Deflatores Sisp'!G$4:I$38,3,FALSE)))*W26,"")</f>
        <v>5.7</v>
      </c>
      <c r="P26" t="s" s="156">
        <v>80</v>
      </c>
      <c r="Q26" t="s" s="136">
        <v>80</v>
      </c>
      <c r="R26" t="s" s="136">
        <v>80</v>
      </c>
      <c r="S26" t="s" s="136">
        <v>80</v>
      </c>
      <c r="T26" s="149"/>
      <c r="U26" t="s" s="136">
        <v>80</v>
      </c>
      <c r="V26" s="141"/>
      <c r="W26" s="142">
        <f>IF(V26="",SUM(Z26:AE26),IF(C26="PA",E26,100%))</f>
        <v>0.95</v>
      </c>
      <c r="X26" s="143"/>
      <c r="Y26" s="144"/>
      <c r="Z26" s="145">
        <f>IF(P26="x",25%,0)</f>
        <v>0.25</v>
      </c>
      <c r="AA26" s="145">
        <f>IF(Q26="x",10%,0)</f>
        <v>0.1</v>
      </c>
      <c r="AB26" s="145">
        <f>IF(R26="x",40%,0)</f>
        <v>0.4</v>
      </c>
      <c r="AC26" s="145">
        <f>IF(S26="x",15%,0)</f>
        <v>0.15</v>
      </c>
      <c r="AD26" s="145">
        <f>IF(T26="x",5%,0)</f>
        <v>0</v>
      </c>
      <c r="AE26" s="145">
        <f>IF(U26="x",5%,0)</f>
        <v>0.05</v>
      </c>
    </row>
    <row r="27" s="90" customFormat="1" ht="33" customHeight="1">
      <c r="A27" s="133"/>
      <c r="B27" s="162"/>
      <c r="C27" s="163"/>
      <c r="D27" s="28"/>
      <c r="F27" s="29"/>
      <c r="H27" s="164"/>
      <c r="I27" t="s" s="135">
        <f>IF(ISBLANK(C27),"",IF(L27="L","Baixa",IF(L27="A","Média",IF(L27="","","Alta"))))</f>
      </c>
      <c r="J27" t="s" s="136">
        <f>CONCATENATE(C27,L27)</f>
      </c>
      <c r="K27" t="s" s="136">
        <f>IF(ISBLANK(C27),"",IF(C27="ALI",IF(L27="L",7,IF(L27="A",10,15)),IF(C27="AIE",IF(L27="L",5,IF(L27="A",7,10)),IF(C27="SE",IF(L27="L",4,IF(L27="A",5,7)),IF(OR(C27="EE",C27="CE"),IF(L27="L",3,IF(L27="A",4,6)),0)))))</f>
      </c>
      <c r="L27" t="s" s="137">
        <f>IF(OR(ISBLANK(E27),ISBLANK(G27)),IF(OR(C27="ALI",C27="AIE"),"L",IF(OR(C27="EE",C27="SE",C27="CE"),"A","")),IF(C27="EE",IF(G27&gt;=3,IF(E27&gt;=5,"H","A"),IF(G27&gt;=2,IF(E27&gt;=16,"H",IF(E27&lt;=4,"L","A")),IF(E27&lt;=15,"L","A"))),IF(OR(C27="SE",C27="CE"),IF(G27&gt;=4,IF(E27&gt;=6,"H","A"),IF(G27&gt;=2,IF(E27&gt;=20,"H",IF(E27&lt;=5,"L","A")),IF(E27&lt;=19,"L","A"))),IF(OR(C27="ALI",C27="AIE"),IF(G27&gt;=6,IF(E27&gt;=20,"H","A"),IF(G27&gt;=2,IF(E27&gt;=51,"H",IF(E27&lt;=19,"L","A")),IF(E27&lt;=50,"L","A"))),""))))</f>
      </c>
      <c r="M27" t="s" s="136">
        <f>CONCATENATE(C27,D27)</f>
      </c>
      <c r="N27" t="s" s="136">
        <f>IF(OR(K27="",K27=0),O27,K27)</f>
      </c>
      <c r="O27" t="s" s="138">
        <f>_xlfn.IFERROR(IF(NOT(ISERROR(VLOOKUP(C27,'Deflatores Sisp'!G$42:H$70,2,FALSE))),VLOOKUP(C27,'Deflatores Sisp'!G$42:H$70,2,FALSE),IF(OR(ISBLANK(D27),ISBLANK(C27)),"",VLOOKUP(D27,'Deflatores Sisp'!G$4:H$38,2,FALSE)*K27+VLOOKUP(D27,'Deflatores Sisp'!G$4:I$38,3,FALSE)))*W27,"")</f>
      </c>
      <c r="P27" t="s" s="156">
        <v>80</v>
      </c>
      <c r="Q27" t="s" s="136">
        <v>80</v>
      </c>
      <c r="R27" t="s" s="136">
        <v>80</v>
      </c>
      <c r="S27" t="s" s="136">
        <v>80</v>
      </c>
      <c r="T27" s="149"/>
      <c r="U27" t="s" s="136">
        <v>80</v>
      </c>
      <c r="V27" s="141"/>
      <c r="W27" s="142">
        <f>IF(V27="",SUM(Z27:AE27),IF(C27="PA",E27,100%))</f>
        <v>0.95</v>
      </c>
      <c r="X27" s="143"/>
      <c r="Y27" s="144"/>
      <c r="Z27" s="145">
        <f>IF(P27="x",25%,0)</f>
        <v>0.25</v>
      </c>
      <c r="AA27" s="145">
        <f>IF(Q27="x",10%,0)</f>
        <v>0.1</v>
      </c>
      <c r="AB27" s="145">
        <f>IF(R27="x",40%,0)</f>
        <v>0.4</v>
      </c>
      <c r="AC27" s="145">
        <f>IF(S27="x",15%,0)</f>
        <v>0.15</v>
      </c>
      <c r="AD27" s="145">
        <f>IF(T27="x",5%,0)</f>
        <v>0</v>
      </c>
      <c r="AE27" s="145">
        <f>IF(U27="x",5%,0)</f>
        <v>0.05</v>
      </c>
    </row>
    <row r="28" s="90" customFormat="1" ht="33" customHeight="1">
      <c r="A28" s="133"/>
      <c r="B28" s="162"/>
      <c r="C28" s="163"/>
      <c r="D28" s="28"/>
      <c r="F28" s="29"/>
      <c r="H28" s="164"/>
      <c r="I28" t="s" s="135">
        <f>IF(ISBLANK(C28),"",IF(L28="L","Baixa",IF(L28="A","Média",IF(L28="","","Alta"))))</f>
      </c>
      <c r="J28" t="s" s="136">
        <f>CONCATENATE(C28,L28)</f>
      </c>
      <c r="K28" t="s" s="136">
        <f>IF(ISBLANK(C28),"",IF(C28="ALI",IF(L28="L",7,IF(L28="A",10,15)),IF(C28="AIE",IF(L28="L",5,IF(L28="A",7,10)),IF(C28="SE",IF(L28="L",4,IF(L28="A",5,7)),IF(OR(C28="EE",C28="CE"),IF(L28="L",3,IF(L28="A",4,6)),0)))))</f>
      </c>
      <c r="L28" t="s" s="137">
        <f>IF(OR(ISBLANK(E28),ISBLANK(G28)),IF(OR(C28="ALI",C28="AIE"),"L",IF(OR(C28="EE",C28="SE",C28="CE"),"A","")),IF(C28="EE",IF(G28&gt;=3,IF(E28&gt;=5,"H","A"),IF(G28&gt;=2,IF(E28&gt;=16,"H",IF(E28&lt;=4,"L","A")),IF(E28&lt;=15,"L","A"))),IF(OR(C28="SE",C28="CE"),IF(G28&gt;=4,IF(E28&gt;=6,"H","A"),IF(G28&gt;=2,IF(E28&gt;=20,"H",IF(E28&lt;=5,"L","A")),IF(E28&lt;=19,"L","A"))),IF(OR(C28="ALI",C28="AIE"),IF(G28&gt;=6,IF(E28&gt;=20,"H","A"),IF(G28&gt;=2,IF(E28&gt;=51,"H",IF(E28&lt;=19,"L","A")),IF(E28&lt;=50,"L","A"))),""))))</f>
      </c>
      <c r="M28" t="s" s="136">
        <f>CONCATENATE(C28,D28)</f>
      </c>
      <c r="N28" t="s" s="136">
        <f>IF(OR(K28="",K28=0),O28,K28)</f>
      </c>
      <c r="O28" t="s" s="138">
        <f>_xlfn.IFERROR(IF(NOT(ISERROR(VLOOKUP(C28,'Deflatores Sisp'!G$42:H$70,2,FALSE))),VLOOKUP(C28,'Deflatores Sisp'!G$42:H$70,2,FALSE),IF(OR(ISBLANK(D28),ISBLANK(C28)),"",VLOOKUP(D28,'Deflatores Sisp'!G$4:H$38,2,FALSE)*K28+VLOOKUP(D28,'Deflatores Sisp'!G$4:I$38,3,FALSE)))*W28,"")</f>
      </c>
      <c r="P28" t="s" s="156">
        <v>80</v>
      </c>
      <c r="Q28" t="s" s="136">
        <v>80</v>
      </c>
      <c r="R28" t="s" s="136">
        <v>80</v>
      </c>
      <c r="S28" t="s" s="136">
        <v>80</v>
      </c>
      <c r="T28" s="149"/>
      <c r="U28" t="s" s="136">
        <v>80</v>
      </c>
      <c r="V28" s="141"/>
      <c r="W28" s="142">
        <f>IF(V28="",SUM(Z28:AE28),IF(C28="PA",E28,100%))</f>
        <v>0.95</v>
      </c>
      <c r="X28" s="143"/>
      <c r="Y28" s="144"/>
      <c r="Z28" s="145">
        <f>IF(P28="x",25%,0)</f>
        <v>0.25</v>
      </c>
      <c r="AA28" s="145">
        <f>IF(Q28="x",10%,0)</f>
        <v>0.1</v>
      </c>
      <c r="AB28" s="145">
        <f>IF(R28="x",40%,0)</f>
        <v>0.4</v>
      </c>
      <c r="AC28" s="145">
        <f>IF(S28="x",15%,0)</f>
        <v>0.15</v>
      </c>
      <c r="AD28" s="145">
        <f>IF(T28="x",5%,0)</f>
        <v>0</v>
      </c>
      <c r="AE28" s="145">
        <f>IF(U28="x",5%,0)</f>
        <v>0.05</v>
      </c>
    </row>
    <row r="29" s="90" customFormat="1" ht="33" customHeight="1">
      <c r="A29" s="133"/>
      <c r="B29" s="162"/>
      <c r="C29" s="163"/>
      <c r="D29" s="28"/>
      <c r="F29" s="29"/>
      <c r="H29" s="164"/>
      <c r="I29" t="s" s="135">
        <f>IF(ISBLANK(C29),"",IF(L29="L","Baixa",IF(L29="A","Média",IF(L29="","","Alta"))))</f>
      </c>
      <c r="J29" t="s" s="136">
        <f>CONCATENATE(C29,L29)</f>
      </c>
      <c r="K29" t="s" s="136">
        <f>IF(ISBLANK(C29),"",IF(C29="ALI",IF(L29="L",7,IF(L29="A",10,15)),IF(C29="AIE",IF(L29="L",5,IF(L29="A",7,10)),IF(C29="SE",IF(L29="L",4,IF(L29="A",5,7)),IF(OR(C29="EE",C29="CE"),IF(L29="L",3,IF(L29="A",4,6)),0)))))</f>
      </c>
      <c r="L29" t="s" s="137">
        <f>IF(OR(ISBLANK(E29),ISBLANK(G29)),IF(OR(C29="ALI",C29="AIE"),"L",IF(OR(C29="EE",C29="SE",C29="CE"),"A","")),IF(C29="EE",IF(G29&gt;=3,IF(E29&gt;=5,"H","A"),IF(G29&gt;=2,IF(E29&gt;=16,"H",IF(E29&lt;=4,"L","A")),IF(E29&lt;=15,"L","A"))),IF(OR(C29="SE",C29="CE"),IF(G29&gt;=4,IF(E29&gt;=6,"H","A"),IF(G29&gt;=2,IF(E29&gt;=20,"H",IF(E29&lt;=5,"L","A")),IF(E29&lt;=19,"L","A"))),IF(OR(C29="ALI",C29="AIE"),IF(G29&gt;=6,IF(E29&gt;=20,"H","A"),IF(G29&gt;=2,IF(E29&gt;=51,"H",IF(E29&lt;=19,"L","A")),IF(E29&lt;=50,"L","A"))),""))))</f>
      </c>
      <c r="M29" t="s" s="136">
        <f>CONCATENATE(C29,D29)</f>
      </c>
      <c r="N29" t="s" s="136">
        <f>IF(OR(K29="",K29=0),O29,K29)</f>
      </c>
      <c r="O29" t="s" s="138">
        <f>_xlfn.IFERROR(IF(NOT(ISERROR(VLOOKUP(C29,'Deflatores Sisp'!G$42:H$70,2,FALSE))),VLOOKUP(C29,'Deflatores Sisp'!G$42:H$70,2,FALSE),IF(OR(ISBLANK(D29),ISBLANK(C29)),"",VLOOKUP(D29,'Deflatores Sisp'!G$4:H$38,2,FALSE)*K29+VLOOKUP(D29,'Deflatores Sisp'!G$4:I$38,3,FALSE)))*W29,"")</f>
      </c>
      <c r="P29" t="s" s="156">
        <v>80</v>
      </c>
      <c r="Q29" t="s" s="136">
        <v>80</v>
      </c>
      <c r="R29" t="s" s="136">
        <v>80</v>
      </c>
      <c r="S29" t="s" s="136">
        <v>80</v>
      </c>
      <c r="T29" s="149"/>
      <c r="U29" t="s" s="136">
        <v>80</v>
      </c>
      <c r="V29" s="141"/>
      <c r="W29" s="142">
        <f>IF(V29="",SUM(Z29:AE29),IF(C29="PA",E29,100%))</f>
        <v>0.95</v>
      </c>
      <c r="X29" s="143"/>
      <c r="Y29" s="144"/>
      <c r="Z29" s="145">
        <f>IF(P29="x",25%,0)</f>
        <v>0.25</v>
      </c>
      <c r="AA29" s="145">
        <f>IF(Q29="x",10%,0)</f>
        <v>0.1</v>
      </c>
      <c r="AB29" s="145">
        <f>IF(R29="x",40%,0)</f>
        <v>0.4</v>
      </c>
      <c r="AC29" s="145">
        <f>IF(S29="x",15%,0)</f>
        <v>0.15</v>
      </c>
      <c r="AD29" s="145">
        <f>IF(T29="x",5%,0)</f>
        <v>0</v>
      </c>
      <c r="AE29" s="145">
        <f>IF(U29="x",5%,0)</f>
        <v>0.05</v>
      </c>
    </row>
    <row r="30" s="90" customFormat="1" ht="33" customHeight="1">
      <c r="A30" s="133"/>
      <c r="B30" s="162"/>
      <c r="C30" s="163"/>
      <c r="D30" s="28"/>
      <c r="F30" s="29"/>
      <c r="H30" s="164"/>
      <c r="I30" t="s" s="135">
        <f>IF(ISBLANK(C30),"",IF(L30="L","Baixa",IF(L30="A","Média",IF(L30="","","Alta"))))</f>
      </c>
      <c r="J30" t="s" s="136">
        <f>CONCATENATE(C30,L30)</f>
      </c>
      <c r="K30" t="s" s="136">
        <f>IF(ISBLANK(C30),"",IF(C30="ALI",IF(L30="L",7,IF(L30="A",10,15)),IF(C30="AIE",IF(L30="L",5,IF(L30="A",7,10)),IF(C30="SE",IF(L30="L",4,IF(L30="A",5,7)),IF(OR(C30="EE",C30="CE"),IF(L30="L",3,IF(L30="A",4,6)),0)))))</f>
      </c>
      <c r="L30" t="s" s="137">
        <f>IF(OR(ISBLANK(E30),ISBLANK(G30)),IF(OR(C30="ALI",C30="AIE"),"L",IF(OR(C30="EE",C30="SE",C30="CE"),"A","")),IF(C30="EE",IF(G30&gt;=3,IF(E30&gt;=5,"H","A"),IF(G30&gt;=2,IF(E30&gt;=16,"H",IF(E30&lt;=4,"L","A")),IF(E30&lt;=15,"L","A"))),IF(OR(C30="SE",C30="CE"),IF(G30&gt;=4,IF(E30&gt;=6,"H","A"),IF(G30&gt;=2,IF(E30&gt;=20,"H",IF(E30&lt;=5,"L","A")),IF(E30&lt;=19,"L","A"))),IF(OR(C30="ALI",C30="AIE"),IF(G30&gt;=6,IF(E30&gt;=20,"H","A"),IF(G30&gt;=2,IF(E30&gt;=51,"H",IF(E30&lt;=19,"L","A")),IF(E30&lt;=50,"L","A"))),""))))</f>
      </c>
      <c r="M30" t="s" s="136">
        <f>CONCATENATE(C30,D30)</f>
      </c>
      <c r="N30" t="s" s="136">
        <f>IF(OR(K30="",K30=0),O30,K30)</f>
      </c>
      <c r="O30" t="s" s="138">
        <f>_xlfn.IFERROR(IF(NOT(ISERROR(VLOOKUP(C30,'Deflatores Sisp'!G$42:H$70,2,FALSE))),VLOOKUP(C30,'Deflatores Sisp'!G$42:H$70,2,FALSE),IF(OR(ISBLANK(D30),ISBLANK(C30)),"",VLOOKUP(D30,'Deflatores Sisp'!G$4:H$38,2,FALSE)*K30+VLOOKUP(D30,'Deflatores Sisp'!G$4:I$38,3,FALSE)))*W30,"")</f>
      </c>
      <c r="P30" t="s" s="156">
        <v>80</v>
      </c>
      <c r="Q30" t="s" s="136">
        <v>80</v>
      </c>
      <c r="R30" t="s" s="136">
        <v>80</v>
      </c>
      <c r="S30" t="s" s="136">
        <v>80</v>
      </c>
      <c r="T30" s="149"/>
      <c r="U30" t="s" s="136">
        <v>80</v>
      </c>
      <c r="V30" s="141"/>
      <c r="W30" s="142">
        <f>IF(V30="",SUM(Z30:AE30),IF(C30="PA",E30,100%))</f>
        <v>0.95</v>
      </c>
      <c r="X30" s="143"/>
      <c r="Y30" s="144"/>
      <c r="Z30" s="145">
        <f>IF(P30="x",25%,0)</f>
        <v>0.25</v>
      </c>
      <c r="AA30" s="145">
        <f>IF(Q30="x",10%,0)</f>
        <v>0.1</v>
      </c>
      <c r="AB30" s="145">
        <f>IF(R30="x",40%,0)</f>
        <v>0.4</v>
      </c>
      <c r="AC30" s="145">
        <f>IF(S30="x",15%,0)</f>
        <v>0.15</v>
      </c>
      <c r="AD30" s="145">
        <f>IF(T30="x",5%,0)</f>
        <v>0</v>
      </c>
      <c r="AE30" s="145">
        <f>IF(U30="x",5%,0)</f>
        <v>0.05</v>
      </c>
    </row>
    <row r="31" s="90" customFormat="1" ht="33" customHeight="1">
      <c r="A31" s="133"/>
      <c r="B31" s="162"/>
      <c r="C31" s="163"/>
      <c r="D31" s="28"/>
      <c r="F31" s="29"/>
      <c r="H31" s="164"/>
      <c r="I31" t="s" s="135">
        <f>IF(ISBLANK(C31),"",IF(L31="L","Baixa",IF(L31="A","Média",IF(L31="","","Alta"))))</f>
      </c>
      <c r="J31" t="s" s="136">
        <f>CONCATENATE(C31,L31)</f>
      </c>
      <c r="K31" t="s" s="136">
        <f>IF(ISBLANK(C31),"",IF(C31="ALI",IF(L31="L",7,IF(L31="A",10,15)),IF(C31="AIE",IF(L31="L",5,IF(L31="A",7,10)),IF(C31="SE",IF(L31="L",4,IF(L31="A",5,7)),IF(OR(C31="EE",C31="CE"),IF(L31="L",3,IF(L31="A",4,6)),0)))))</f>
      </c>
      <c r="L31" t="s" s="137">
        <f>IF(OR(ISBLANK(E31),ISBLANK(G31)),IF(OR(C31="ALI",C31="AIE"),"L",IF(OR(C31="EE",C31="SE",C31="CE"),"A","")),IF(C31="EE",IF(G31&gt;=3,IF(E31&gt;=5,"H","A"),IF(G31&gt;=2,IF(E31&gt;=16,"H",IF(E31&lt;=4,"L","A")),IF(E31&lt;=15,"L","A"))),IF(OR(C31="SE",C31="CE"),IF(G31&gt;=4,IF(E31&gt;=6,"H","A"),IF(G31&gt;=2,IF(E31&gt;=20,"H",IF(E31&lt;=5,"L","A")),IF(E31&lt;=19,"L","A"))),IF(OR(C31="ALI",C31="AIE"),IF(G31&gt;=6,IF(E31&gt;=20,"H","A"),IF(G31&gt;=2,IF(E31&gt;=51,"H",IF(E31&lt;=19,"L","A")),IF(E31&lt;=50,"L","A"))),""))))</f>
      </c>
      <c r="M31" t="s" s="136">
        <f>CONCATENATE(C31,D31)</f>
      </c>
      <c r="N31" t="s" s="136">
        <f>IF(OR(K31="",K31=0),O31,K31)</f>
      </c>
      <c r="O31" t="s" s="138">
        <f>_xlfn.IFERROR(IF(NOT(ISERROR(VLOOKUP(C31,'Deflatores Sisp'!G$42:H$70,2,FALSE))),VLOOKUP(C31,'Deflatores Sisp'!G$42:H$70,2,FALSE),IF(OR(ISBLANK(D31),ISBLANK(C31)),"",VLOOKUP(D31,'Deflatores Sisp'!G$4:H$38,2,FALSE)*K31+VLOOKUP(D31,'Deflatores Sisp'!G$4:I$38,3,FALSE)))*W31,"")</f>
      </c>
      <c r="P31" t="s" s="156">
        <v>80</v>
      </c>
      <c r="Q31" t="s" s="136">
        <v>80</v>
      </c>
      <c r="R31" t="s" s="136">
        <v>80</v>
      </c>
      <c r="S31" t="s" s="136">
        <v>80</v>
      </c>
      <c r="T31" s="149"/>
      <c r="U31" t="s" s="136">
        <v>80</v>
      </c>
      <c r="V31" s="141"/>
      <c r="W31" s="142">
        <f>IF(V31="",SUM(Z31:AE31),IF(C31="PA",E31,100%))</f>
        <v>0.95</v>
      </c>
      <c r="X31" s="143"/>
      <c r="Y31" s="144"/>
      <c r="Z31" s="145">
        <f>IF(P31="x",25%,0)</f>
        <v>0.25</v>
      </c>
      <c r="AA31" s="145">
        <f>IF(Q31="x",10%,0)</f>
        <v>0.1</v>
      </c>
      <c r="AB31" s="145">
        <f>IF(R31="x",40%,0)</f>
        <v>0.4</v>
      </c>
      <c r="AC31" s="145">
        <f>IF(S31="x",15%,0)</f>
        <v>0.15</v>
      </c>
      <c r="AD31" s="145">
        <f>IF(T31="x",5%,0)</f>
        <v>0</v>
      </c>
      <c r="AE31" s="145">
        <f>IF(U31="x",5%,0)</f>
        <v>0.05</v>
      </c>
    </row>
    <row r="32" s="90" customFormat="1" ht="33" customHeight="1">
      <c r="A32" s="133"/>
      <c r="B32" s="162"/>
      <c r="C32" s="163"/>
      <c r="D32" s="28"/>
      <c r="F32" s="29"/>
      <c r="H32" s="164"/>
      <c r="I32" t="s" s="135">
        <f>IF(ISBLANK(C32),"",IF(L32="L","Baixa",IF(L32="A","Média",IF(L32="","","Alta"))))</f>
      </c>
      <c r="J32" t="s" s="136">
        <f>CONCATENATE(C32,L32)</f>
      </c>
      <c r="K32" t="s" s="136">
        <f>IF(ISBLANK(C32),"",IF(C32="ALI",IF(L32="L",7,IF(L32="A",10,15)),IF(C32="AIE",IF(L32="L",5,IF(L32="A",7,10)),IF(C32="SE",IF(L32="L",4,IF(L32="A",5,7)),IF(OR(C32="EE",C32="CE"),IF(L32="L",3,IF(L32="A",4,6)),0)))))</f>
      </c>
      <c r="L32" t="s" s="137">
        <f>IF(OR(ISBLANK(E32),ISBLANK(G32)),IF(OR(C32="ALI",C32="AIE"),"L",IF(OR(C32="EE",C32="SE",C32="CE"),"A","")),IF(C32="EE",IF(G32&gt;=3,IF(E32&gt;=5,"H","A"),IF(G32&gt;=2,IF(E32&gt;=16,"H",IF(E32&lt;=4,"L","A")),IF(E32&lt;=15,"L","A"))),IF(OR(C32="SE",C32="CE"),IF(G32&gt;=4,IF(E32&gt;=6,"H","A"),IF(G32&gt;=2,IF(E32&gt;=20,"H",IF(E32&lt;=5,"L","A")),IF(E32&lt;=19,"L","A"))),IF(OR(C32="ALI",C32="AIE"),IF(G32&gt;=6,IF(E32&gt;=20,"H","A"),IF(G32&gt;=2,IF(E32&gt;=51,"H",IF(E32&lt;=19,"L","A")),IF(E32&lt;=50,"L","A"))),""))))</f>
      </c>
      <c r="M32" t="s" s="136">
        <f>CONCATENATE(C32,D32)</f>
      </c>
      <c r="N32" t="s" s="136">
        <f>IF(OR(K32="",K32=0),O32,K32)</f>
      </c>
      <c r="O32" t="s" s="138">
        <f>_xlfn.IFERROR(IF(NOT(ISERROR(VLOOKUP(C32,'Deflatores Sisp'!G$42:H$70,2,FALSE))),VLOOKUP(C32,'Deflatores Sisp'!G$42:H$70,2,FALSE),IF(OR(ISBLANK(D32),ISBLANK(C32)),"",VLOOKUP(D32,'Deflatores Sisp'!G$4:H$38,2,FALSE)*K32+VLOOKUP(D32,'Deflatores Sisp'!G$4:I$38,3,FALSE)))*W32,"")</f>
      </c>
      <c r="P32" t="s" s="156">
        <v>80</v>
      </c>
      <c r="Q32" t="s" s="136">
        <v>80</v>
      </c>
      <c r="R32" t="s" s="136">
        <v>80</v>
      </c>
      <c r="S32" t="s" s="136">
        <v>80</v>
      </c>
      <c r="T32" s="149"/>
      <c r="U32" t="s" s="136">
        <v>80</v>
      </c>
      <c r="V32" s="141"/>
      <c r="W32" s="142">
        <f>IF(V32="",SUM(Z32:AE32),IF(C32="PA",E32,100%))</f>
        <v>0.95</v>
      </c>
      <c r="X32" s="143"/>
      <c r="Y32" s="144"/>
      <c r="Z32" s="145">
        <f>IF(P32="x",25%,0)</f>
        <v>0.25</v>
      </c>
      <c r="AA32" s="145">
        <f>IF(Q32="x",10%,0)</f>
        <v>0.1</v>
      </c>
      <c r="AB32" s="145">
        <f>IF(R32="x",40%,0)</f>
        <v>0.4</v>
      </c>
      <c r="AC32" s="145">
        <f>IF(S32="x",15%,0)</f>
        <v>0.15</v>
      </c>
      <c r="AD32" s="145">
        <f>IF(T32="x",5%,0)</f>
        <v>0</v>
      </c>
      <c r="AE32" s="145">
        <f>IF(U32="x",5%,0)</f>
        <v>0.05</v>
      </c>
    </row>
    <row r="33" s="90" customFormat="1" ht="33" customHeight="1">
      <c r="A33" s="133"/>
      <c r="B33" s="162"/>
      <c r="C33" s="163"/>
      <c r="D33" s="28"/>
      <c r="F33" s="29"/>
      <c r="H33" s="164"/>
      <c r="I33" t="s" s="135">
        <f>IF(ISBLANK(C33),"",IF(L33="L","Baixa",IF(L33="A","Média",IF(L33="","","Alta"))))</f>
      </c>
      <c r="J33" t="s" s="136">
        <f>CONCATENATE(C33,L33)</f>
      </c>
      <c r="K33" t="s" s="136">
        <f>IF(ISBLANK(C33),"",IF(C33="ALI",IF(L33="L",7,IF(L33="A",10,15)),IF(C33="AIE",IF(L33="L",5,IF(L33="A",7,10)),IF(C33="SE",IF(L33="L",4,IF(L33="A",5,7)),IF(OR(C33="EE",C33="CE"),IF(L33="L",3,IF(L33="A",4,6)),0)))))</f>
      </c>
      <c r="L33" t="s" s="137">
        <f>IF(OR(ISBLANK(E33),ISBLANK(G33)),IF(OR(C33="ALI",C33="AIE"),"L",IF(OR(C33="EE",C33="SE",C33="CE"),"A","")),IF(C33="EE",IF(G33&gt;=3,IF(E33&gt;=5,"H","A"),IF(G33&gt;=2,IF(E33&gt;=16,"H",IF(E33&lt;=4,"L","A")),IF(E33&lt;=15,"L","A"))),IF(OR(C33="SE",C33="CE"),IF(G33&gt;=4,IF(E33&gt;=6,"H","A"),IF(G33&gt;=2,IF(E33&gt;=20,"H",IF(E33&lt;=5,"L","A")),IF(E33&lt;=19,"L","A"))),IF(OR(C33="ALI",C33="AIE"),IF(G33&gt;=6,IF(E33&gt;=20,"H","A"),IF(G33&gt;=2,IF(E33&gt;=51,"H",IF(E33&lt;=19,"L","A")),IF(E33&lt;=50,"L","A"))),""))))</f>
      </c>
      <c r="M33" t="s" s="136">
        <f>CONCATENATE(C33,D33)</f>
      </c>
      <c r="N33" t="s" s="136">
        <f>IF(OR(K33="",K33=0),O33,K33)</f>
      </c>
      <c r="O33" t="s" s="138">
        <f>_xlfn.IFERROR(IF(NOT(ISERROR(VLOOKUP(C33,'Deflatores Sisp'!G$42:H$70,2,FALSE))),VLOOKUP(C33,'Deflatores Sisp'!G$42:H$70,2,FALSE),IF(OR(ISBLANK(D33),ISBLANK(C33)),"",VLOOKUP(D33,'Deflatores Sisp'!G$4:H$38,2,FALSE)*K33+VLOOKUP(D33,'Deflatores Sisp'!G$4:I$38,3,FALSE)))*W33,"")</f>
      </c>
      <c r="P33" t="s" s="156">
        <v>80</v>
      </c>
      <c r="Q33" t="s" s="136">
        <v>80</v>
      </c>
      <c r="R33" t="s" s="136">
        <v>80</v>
      </c>
      <c r="S33" t="s" s="136">
        <v>80</v>
      </c>
      <c r="T33" s="149"/>
      <c r="U33" t="s" s="136">
        <v>80</v>
      </c>
      <c r="V33" s="141"/>
      <c r="W33" s="142">
        <f>IF(V33="",SUM(Z33:AE33),IF(C33="PA",E33,100%))</f>
        <v>0.95</v>
      </c>
      <c r="X33" s="143"/>
      <c r="Y33" s="144"/>
      <c r="Z33" s="145">
        <f>IF(P33="x",25%,0)</f>
        <v>0.25</v>
      </c>
      <c r="AA33" s="145">
        <f>IF(Q33="x",10%,0)</f>
        <v>0.1</v>
      </c>
      <c r="AB33" s="145">
        <f>IF(R33="x",40%,0)</f>
        <v>0.4</v>
      </c>
      <c r="AC33" s="145">
        <f>IF(S33="x",15%,0)</f>
        <v>0.15</v>
      </c>
      <c r="AD33" s="145">
        <f>IF(T33="x",5%,0)</f>
        <v>0</v>
      </c>
      <c r="AE33" s="145">
        <f>IF(U33="x",5%,0)</f>
        <v>0.05</v>
      </c>
    </row>
    <row r="34" s="90" customFormat="1" ht="33" customHeight="1">
      <c r="A34" s="133"/>
      <c r="B34" s="162"/>
      <c r="C34" s="163"/>
      <c r="D34" s="28"/>
      <c r="F34" s="29"/>
      <c r="H34" s="164"/>
      <c r="I34" t="s" s="135">
        <f>IF(ISBLANK(C34),"",IF(L34="L","Baixa",IF(L34="A","Média",IF(L34="","","Alta"))))</f>
      </c>
      <c r="J34" t="s" s="136">
        <f>CONCATENATE(C34,L34)</f>
      </c>
      <c r="K34" t="s" s="136">
        <f>IF(ISBLANK(C34),"",IF(C34="ALI",IF(L34="L",7,IF(L34="A",10,15)),IF(C34="AIE",IF(L34="L",5,IF(L34="A",7,10)),IF(C34="SE",IF(L34="L",4,IF(L34="A",5,7)),IF(OR(C34="EE",C34="CE"),IF(L34="L",3,IF(L34="A",4,6)),0)))))</f>
      </c>
      <c r="L34" t="s" s="137">
        <f>IF(OR(ISBLANK(E34),ISBLANK(G34)),IF(OR(C34="ALI",C34="AIE"),"L",IF(OR(C34="EE",C34="SE",C34="CE"),"A","")),IF(C34="EE",IF(G34&gt;=3,IF(E34&gt;=5,"H","A"),IF(G34&gt;=2,IF(E34&gt;=16,"H",IF(E34&lt;=4,"L","A")),IF(E34&lt;=15,"L","A"))),IF(OR(C34="SE",C34="CE"),IF(G34&gt;=4,IF(E34&gt;=6,"H","A"),IF(G34&gt;=2,IF(E34&gt;=20,"H",IF(E34&lt;=5,"L","A")),IF(E34&lt;=19,"L","A"))),IF(OR(C34="ALI",C34="AIE"),IF(G34&gt;=6,IF(E34&gt;=20,"H","A"),IF(G34&gt;=2,IF(E34&gt;=51,"H",IF(E34&lt;=19,"L","A")),IF(E34&lt;=50,"L","A"))),""))))</f>
      </c>
      <c r="M34" t="s" s="136">
        <f>CONCATENATE(C34,D34)</f>
      </c>
      <c r="N34" t="s" s="136">
        <f>IF(OR(K34="",K34=0),O34,K34)</f>
      </c>
      <c r="O34" t="s" s="138">
        <f>_xlfn.IFERROR(IF(NOT(ISERROR(VLOOKUP(C34,'Deflatores Sisp'!G$42:H$70,2,FALSE))),VLOOKUP(C34,'Deflatores Sisp'!G$42:H$70,2,FALSE),IF(OR(ISBLANK(D34),ISBLANK(C34)),"",VLOOKUP(D34,'Deflatores Sisp'!G$4:H$38,2,FALSE)*K34+VLOOKUP(D34,'Deflatores Sisp'!G$4:I$38,3,FALSE)))*W34,"")</f>
      </c>
      <c r="P34" t="s" s="156">
        <v>80</v>
      </c>
      <c r="Q34" t="s" s="136">
        <v>80</v>
      </c>
      <c r="R34" t="s" s="136">
        <v>80</v>
      </c>
      <c r="S34" t="s" s="136">
        <v>80</v>
      </c>
      <c r="T34" s="149"/>
      <c r="U34" t="s" s="136">
        <v>80</v>
      </c>
      <c r="V34" s="141"/>
      <c r="W34" s="142">
        <f>IF(V34="",SUM(Z34:AE34),IF(C34="PA",E34,100%))</f>
        <v>0.95</v>
      </c>
      <c r="X34" s="143"/>
      <c r="Y34" s="144"/>
      <c r="Z34" s="145">
        <f>IF(P34="x",25%,0)</f>
        <v>0.25</v>
      </c>
      <c r="AA34" s="145">
        <f>IF(Q34="x",10%,0)</f>
        <v>0.1</v>
      </c>
      <c r="AB34" s="145">
        <f>IF(R34="x",40%,0)</f>
        <v>0.4</v>
      </c>
      <c r="AC34" s="145">
        <f>IF(S34="x",15%,0)</f>
        <v>0.15</v>
      </c>
      <c r="AD34" s="145">
        <f>IF(T34="x",5%,0)</f>
        <v>0</v>
      </c>
      <c r="AE34" s="145">
        <f>IF(U34="x",5%,0)</f>
        <v>0.05</v>
      </c>
    </row>
    <row r="35" s="90" customFormat="1" ht="33" customHeight="1">
      <c r="A35" s="133"/>
      <c r="B35" s="165"/>
      <c r="C35" s="166"/>
      <c r="D35" s="167"/>
      <c r="F35" s="168"/>
      <c r="H35" s="169"/>
      <c r="I35" t="s" s="135">
        <f>IF(ISBLANK(C35),"",IF(L35="L","Baixa",IF(L35="A","Média",IF(L35="","","Alta"))))</f>
      </c>
      <c r="J35" t="s" s="136">
        <f>CONCATENATE(C35,L35)</f>
      </c>
      <c r="K35" t="s" s="136">
        <f>IF(ISBLANK(C35),"",IF(C35="ALI",IF(L35="L",7,IF(L35="A",10,15)),IF(C35="AIE",IF(L35="L",5,IF(L35="A",7,10)),IF(C35="SE",IF(L35="L",4,IF(L35="A",5,7)),IF(OR(C35="EE",C35="CE"),IF(L35="L",3,IF(L35="A",4,6)),0)))))</f>
      </c>
      <c r="L35" t="s" s="137">
        <f>IF(OR(ISBLANK(E35),ISBLANK(G35)),IF(OR(C35="ALI",C35="AIE"),"L",IF(OR(C35="EE",C35="SE",C35="CE"),"A","")),IF(C35="EE",IF(G35&gt;=3,IF(E35&gt;=5,"H","A"),IF(G35&gt;=2,IF(E35&gt;=16,"H",IF(E35&lt;=4,"L","A")),IF(E35&lt;=15,"L","A"))),IF(OR(C35="SE",C35="CE"),IF(G35&gt;=4,IF(E35&gt;=6,"H","A"),IF(G35&gt;=2,IF(E35&gt;=20,"H",IF(E35&lt;=5,"L","A")),IF(E35&lt;=19,"L","A"))),IF(OR(C35="ALI",C35="AIE"),IF(G35&gt;=6,IF(E35&gt;=20,"H","A"),IF(G35&gt;=2,IF(E35&gt;=51,"H",IF(E35&lt;=19,"L","A")),IF(E35&lt;=50,"L","A"))),""))))</f>
      </c>
      <c r="M35" t="s" s="136">
        <f>CONCATENATE(C35,D35)</f>
      </c>
      <c r="N35" t="s" s="136">
        <f>IF(OR(K35="",K35=0),O35,K35)</f>
      </c>
      <c r="O35" t="s" s="138">
        <f>_xlfn.IFERROR(IF(NOT(ISERROR(VLOOKUP(C35,'Deflatores Sisp'!G$42:H$70,2,FALSE))),VLOOKUP(C35,'Deflatores Sisp'!G$42:H$70,2,FALSE),IF(OR(ISBLANK(D35),ISBLANK(C35)),"",VLOOKUP(D35,'Deflatores Sisp'!G$4:H$38,2,FALSE)*K35+VLOOKUP(D35,'Deflatores Sisp'!G$4:I$38,3,FALSE)))*W35,"")</f>
      </c>
      <c r="P35" t="s" s="156">
        <v>80</v>
      </c>
      <c r="Q35" t="s" s="136">
        <v>80</v>
      </c>
      <c r="R35" t="s" s="136">
        <v>80</v>
      </c>
      <c r="S35" t="s" s="136">
        <v>80</v>
      </c>
      <c r="T35" s="149"/>
      <c r="U35" t="s" s="136">
        <v>80</v>
      </c>
      <c r="V35" s="141"/>
      <c r="W35" s="142">
        <f>IF(V35="",SUM(Z35:AE35),IF(C35="PA",E35,100%))</f>
        <v>0.95</v>
      </c>
      <c r="X35" s="143"/>
      <c r="Y35" s="144"/>
      <c r="Z35" s="145">
        <f>IF(P35="x",25%,0)</f>
        <v>0.25</v>
      </c>
      <c r="AA35" s="145">
        <f>IF(Q35="x",10%,0)</f>
        <v>0.1</v>
      </c>
      <c r="AB35" s="145">
        <f>IF(R35="x",40%,0)</f>
        <v>0.4</v>
      </c>
      <c r="AC35" s="145">
        <f>IF(S35="x",15%,0)</f>
        <v>0.15</v>
      </c>
      <c r="AD35" s="145">
        <f>IF(T35="x",5%,0)</f>
        <v>0</v>
      </c>
      <c r="AE35" s="145">
        <f>IF(U35="x",5%,0)</f>
        <v>0.05</v>
      </c>
    </row>
    <row r="36" s="90" customFormat="1" ht="33" customHeight="1">
      <c r="A36" s="133"/>
      <c r="C36" s="170"/>
      <c r="D36" s="132"/>
      <c r="E36" s="132"/>
      <c r="F36" s="171"/>
      <c r="G36" s="132"/>
      <c r="H36" s="172"/>
      <c r="I36" t="s" s="135">
        <f>IF(ISBLANK(C36),"",IF(L36="L","Baixa",IF(L36="A","Média",IF(L36="","","Alta"))))</f>
      </c>
      <c r="J36" t="s" s="136">
        <f>CONCATENATE(C36,L36)</f>
      </c>
      <c r="K36" t="s" s="136">
        <f>IF(ISBLANK(C36),"",IF(C36="ALI",IF(L36="L",7,IF(L36="A",10,15)),IF(C36="AIE",IF(L36="L",5,IF(L36="A",7,10)),IF(C36="SE",IF(L36="L",4,IF(L36="A",5,7)),IF(OR(C36="EE",C36="CE"),IF(L36="L",3,IF(L36="A",4,6)),0)))))</f>
      </c>
      <c r="L36" t="s" s="137">
        <f>IF(OR(ISBLANK(E36),ISBLANK(G36)),IF(OR(C36="ALI",C36="AIE"),"L",IF(OR(C36="EE",C36="SE",C36="CE"),"A","")),IF(C36="EE",IF(G36&gt;=3,IF(E36&gt;=5,"H","A"),IF(G36&gt;=2,IF(E36&gt;=16,"H",IF(E36&lt;=4,"L","A")),IF(E36&lt;=15,"L","A"))),IF(OR(C36="SE",C36="CE"),IF(G36&gt;=4,IF(E36&gt;=6,"H","A"),IF(G36&gt;=2,IF(E36&gt;=20,"H",IF(E36&lt;=5,"L","A")),IF(E36&lt;=19,"L","A"))),IF(OR(C36="ALI",C36="AIE"),IF(G36&gt;=6,IF(E36&gt;=20,"H","A"),IF(G36&gt;=2,IF(E36&gt;=51,"H",IF(E36&lt;=19,"L","A")),IF(E36&lt;=50,"L","A"))),""))))</f>
      </c>
      <c r="M36" t="s" s="136">
        <f>CONCATENATE(C36,D36)</f>
      </c>
      <c r="N36" t="s" s="136">
        <f>IF(OR(K36="",K36=0),O36,K36)</f>
      </c>
      <c r="O36" t="s" s="138">
        <f>_xlfn.IFERROR(IF(NOT(ISERROR(VLOOKUP(C36,'Deflatores Sisp'!G$42:H$70,2,FALSE))),VLOOKUP(C36,'Deflatores Sisp'!G$42:H$70,2,FALSE),IF(OR(ISBLANK(D36),ISBLANK(C36)),"",VLOOKUP(D36,'Deflatores Sisp'!G$4:H$38,2,FALSE)*K36+VLOOKUP(D36,'Deflatores Sisp'!G$4:I$38,3,FALSE)))*W36,"")</f>
      </c>
      <c r="P36" t="s" s="156">
        <v>80</v>
      </c>
      <c r="Q36" t="s" s="136">
        <v>80</v>
      </c>
      <c r="R36" t="s" s="136">
        <v>80</v>
      </c>
      <c r="S36" t="s" s="136">
        <v>80</v>
      </c>
      <c r="T36" s="149"/>
      <c r="U36" t="s" s="136">
        <v>80</v>
      </c>
      <c r="V36" s="141"/>
      <c r="W36" s="142">
        <f>IF(V36="",SUM(Z36:AE36),IF(C36="PA",E36,100%))</f>
        <v>0.95</v>
      </c>
      <c r="X36" s="143"/>
      <c r="Y36" s="144"/>
      <c r="Z36" s="145">
        <f>IF(P36="x",25%,0)</f>
        <v>0.25</v>
      </c>
      <c r="AA36" s="145">
        <f>IF(Q36="x",10%,0)</f>
        <v>0.1</v>
      </c>
      <c r="AB36" s="145">
        <f>IF(R36="x",40%,0)</f>
        <v>0.4</v>
      </c>
      <c r="AC36" s="145">
        <f>IF(S36="x",15%,0)</f>
        <v>0.15</v>
      </c>
      <c r="AD36" s="145">
        <f>IF(T36="x",5%,0)</f>
        <v>0</v>
      </c>
      <c r="AE36" s="145">
        <f>IF(U36="x",5%,0)</f>
        <v>0.05</v>
      </c>
    </row>
    <row r="37" s="90" customFormat="1" ht="33" customHeight="1">
      <c r="A37" s="133"/>
      <c r="C37" s="170"/>
      <c r="D37" s="132"/>
      <c r="E37" s="132"/>
      <c r="F37" s="171"/>
      <c r="G37" s="132"/>
      <c r="H37" s="172"/>
      <c r="I37" t="s" s="135">
        <f>IF(ISBLANK(C37),"",IF(L37="L","Baixa",IF(L37="A","Média",IF(L37="","","Alta"))))</f>
      </c>
      <c r="J37" t="s" s="136">
        <f>CONCATENATE(C37,L37)</f>
      </c>
      <c r="K37" t="s" s="136">
        <f>IF(ISBLANK(C37),"",IF(C37="ALI",IF(L37="L",7,IF(L37="A",10,15)),IF(C37="AIE",IF(L37="L",5,IF(L37="A",7,10)),IF(C37="SE",IF(L37="L",4,IF(L37="A",5,7)),IF(OR(C37="EE",C37="CE"),IF(L37="L",3,IF(L37="A",4,6)),0)))))</f>
      </c>
      <c r="L37" t="s" s="137">
        <f>IF(OR(ISBLANK(E37),ISBLANK(G37)),IF(OR(C37="ALI",C37="AIE"),"L",IF(OR(C37="EE",C37="SE",C37="CE"),"A","")),IF(C37="EE",IF(G37&gt;=3,IF(E37&gt;=5,"H","A"),IF(G37&gt;=2,IF(E37&gt;=16,"H",IF(E37&lt;=4,"L","A")),IF(E37&lt;=15,"L","A"))),IF(OR(C37="SE",C37="CE"),IF(G37&gt;=4,IF(E37&gt;=6,"H","A"),IF(G37&gt;=2,IF(E37&gt;=20,"H",IF(E37&lt;=5,"L","A")),IF(E37&lt;=19,"L","A"))),IF(OR(C37="ALI",C37="AIE"),IF(G37&gt;=6,IF(E37&gt;=20,"H","A"),IF(G37&gt;=2,IF(E37&gt;=51,"H",IF(E37&lt;=19,"L","A")),IF(E37&lt;=50,"L","A"))),""))))</f>
      </c>
      <c r="M37" t="s" s="136">
        <f>CONCATENATE(C37,D37)</f>
      </c>
      <c r="N37" t="s" s="136">
        <f>IF(OR(K37="",K37=0),O37,K37)</f>
      </c>
      <c r="O37" t="s" s="138">
        <f>_xlfn.IFERROR(IF(NOT(ISERROR(VLOOKUP(C37,'Deflatores Sisp'!G$42:H$70,2,FALSE))),VLOOKUP(C37,'Deflatores Sisp'!G$42:H$70,2,FALSE),IF(OR(ISBLANK(D37),ISBLANK(C37)),"",VLOOKUP(D37,'Deflatores Sisp'!G$4:H$38,2,FALSE)*K37+VLOOKUP(D37,'Deflatores Sisp'!G$4:I$38,3,FALSE)))*W37,"")</f>
      </c>
      <c r="P37" t="s" s="156">
        <v>80</v>
      </c>
      <c r="Q37" t="s" s="136">
        <v>80</v>
      </c>
      <c r="R37" t="s" s="136">
        <v>80</v>
      </c>
      <c r="S37" t="s" s="136">
        <v>80</v>
      </c>
      <c r="T37" s="149"/>
      <c r="U37" t="s" s="136">
        <v>80</v>
      </c>
      <c r="V37" s="141"/>
      <c r="W37" s="142">
        <f>IF(V37="",SUM(Z37:AE37),IF(C37="PA",E37,100%))</f>
        <v>0.95</v>
      </c>
      <c r="X37" s="143"/>
      <c r="Y37" s="144"/>
      <c r="Z37" s="145">
        <f>IF(P37="x",25%,0)</f>
        <v>0.25</v>
      </c>
      <c r="AA37" s="145">
        <f>IF(Q37="x",10%,0)</f>
        <v>0.1</v>
      </c>
      <c r="AB37" s="145">
        <f>IF(R37="x",40%,0)</f>
        <v>0.4</v>
      </c>
      <c r="AC37" s="145">
        <f>IF(S37="x",15%,0)</f>
        <v>0.15</v>
      </c>
      <c r="AD37" s="145">
        <f>IF(T37="x",5%,0)</f>
        <v>0</v>
      </c>
      <c r="AE37" s="145">
        <f>IF(U37="x",5%,0)</f>
        <v>0.05</v>
      </c>
    </row>
    <row r="38" s="90" customFormat="1" ht="33" customHeight="1">
      <c r="A38" s="133"/>
      <c r="C38" s="170"/>
      <c r="D38" s="132"/>
      <c r="E38" s="173"/>
      <c r="F38" s="174"/>
      <c r="G38" s="173"/>
      <c r="H38" s="175"/>
      <c r="I38" t="s" s="135">
        <f>IF(ISBLANK(C38),"",IF(L38="L","Baixa",IF(L38="A","Média",IF(L38="","","Alta"))))</f>
      </c>
      <c r="J38" t="s" s="136">
        <f>CONCATENATE(C38,L38)</f>
      </c>
      <c r="K38" t="s" s="136">
        <f>IF(ISBLANK(C38),"",IF(C38="ALI",IF(L38="L",7,IF(L38="A",10,15)),IF(C38="AIE",IF(L38="L",5,IF(L38="A",7,10)),IF(C38="SE",IF(L38="L",4,IF(L38="A",5,7)),IF(OR(C38="EE",C38="CE"),IF(L38="L",3,IF(L38="A",4,6)),0)))))</f>
      </c>
      <c r="L38" t="s" s="137">
        <f>IF(OR(ISBLANK(E38),ISBLANK(G38)),IF(OR(C38="ALI",C38="AIE"),"L",IF(OR(C38="EE",C38="SE",C38="CE"),"A","")),IF(C38="EE",IF(G38&gt;=3,IF(E38&gt;=5,"H","A"),IF(G38&gt;=2,IF(E38&gt;=16,"H",IF(E38&lt;=4,"L","A")),IF(E38&lt;=15,"L","A"))),IF(OR(C38="SE",C38="CE"),IF(G38&gt;=4,IF(E38&gt;=6,"H","A"),IF(G38&gt;=2,IF(E38&gt;=20,"H",IF(E38&lt;=5,"L","A")),IF(E38&lt;=19,"L","A"))),IF(OR(C38="ALI",C38="AIE"),IF(G38&gt;=6,IF(E38&gt;=20,"H","A"),IF(G38&gt;=2,IF(E38&gt;=51,"H",IF(E38&lt;=19,"L","A")),IF(E38&lt;=50,"L","A"))),""))))</f>
      </c>
      <c r="M38" t="s" s="136">
        <f>CONCATENATE(C38,D38)</f>
      </c>
      <c r="N38" t="s" s="136">
        <f>IF(OR(K38="",K38=0),O38,K38)</f>
      </c>
      <c r="O38" t="s" s="138">
        <f>_xlfn.IFERROR(IF(NOT(ISERROR(VLOOKUP(C38,'Deflatores Sisp'!G$42:H$70,2,FALSE))),VLOOKUP(C38,'Deflatores Sisp'!G$42:H$70,2,FALSE),IF(OR(ISBLANK(D38),ISBLANK(C38)),"",VLOOKUP(D38,'Deflatores Sisp'!G$4:H$38,2,FALSE)*K38+VLOOKUP(D38,'Deflatores Sisp'!G$4:I$38,3,FALSE)))*W38,"")</f>
      </c>
      <c r="P38" t="s" s="156">
        <v>80</v>
      </c>
      <c r="Q38" t="s" s="136">
        <v>80</v>
      </c>
      <c r="R38" t="s" s="136">
        <v>80</v>
      </c>
      <c r="S38" t="s" s="136">
        <v>80</v>
      </c>
      <c r="T38" s="149"/>
      <c r="U38" t="s" s="136">
        <v>80</v>
      </c>
      <c r="V38" s="141"/>
      <c r="W38" s="142">
        <f>IF(V38="",SUM(Z38:AE38),IF(C38="PA",E38,100%))</f>
        <v>0.95</v>
      </c>
      <c r="X38" s="143"/>
      <c r="Y38" s="144"/>
      <c r="Z38" s="145">
        <f>IF(P38="x",25%,0)</f>
        <v>0.25</v>
      </c>
      <c r="AA38" s="145">
        <f>IF(Q38="x",10%,0)</f>
        <v>0.1</v>
      </c>
      <c r="AB38" s="145">
        <f>IF(R38="x",40%,0)</f>
        <v>0.4</v>
      </c>
      <c r="AC38" s="145">
        <f>IF(S38="x",15%,0)</f>
        <v>0.15</v>
      </c>
      <c r="AD38" s="145">
        <f>IF(T38="x",5%,0)</f>
        <v>0</v>
      </c>
      <c r="AE38" s="145">
        <f>IF(U38="x",5%,0)</f>
        <v>0.05</v>
      </c>
    </row>
    <row r="39" s="90" customFormat="1" ht="33" customHeight="1">
      <c r="A39" s="133"/>
      <c r="C39" s="170"/>
      <c r="D39" s="132"/>
      <c r="E39" s="132"/>
      <c r="F39" s="171"/>
      <c r="G39" s="132"/>
      <c r="H39" s="172"/>
      <c r="I39" t="s" s="135">
        <f>IF(ISBLANK(C39),"",IF(L39="L","Baixa",IF(L39="A","Média",IF(L39="","","Alta"))))</f>
      </c>
      <c r="J39" t="s" s="136">
        <f>CONCATENATE(C39,L39)</f>
      </c>
      <c r="K39" t="s" s="136">
        <f>IF(ISBLANK(C39),"",IF(C39="ALI",IF(L39="L",7,IF(L39="A",10,15)),IF(C39="AIE",IF(L39="L",5,IF(L39="A",7,10)),IF(C39="SE",IF(L39="L",4,IF(L39="A",5,7)),IF(OR(C39="EE",C39="CE"),IF(L39="L",3,IF(L39="A",4,6)),0)))))</f>
      </c>
      <c r="L39" t="s" s="137">
        <f>IF(OR(ISBLANK(E39),ISBLANK(G39)),IF(OR(C39="ALI",C39="AIE"),"L",IF(OR(C39="EE",C39="SE",C39="CE"),"A","")),IF(C39="EE",IF(G39&gt;=3,IF(E39&gt;=5,"H","A"),IF(G39&gt;=2,IF(E39&gt;=16,"H",IF(E39&lt;=4,"L","A")),IF(E39&lt;=15,"L","A"))),IF(OR(C39="SE",C39="CE"),IF(G39&gt;=4,IF(E39&gt;=6,"H","A"),IF(G39&gt;=2,IF(E39&gt;=20,"H",IF(E39&lt;=5,"L","A")),IF(E39&lt;=19,"L","A"))),IF(OR(C39="ALI",C39="AIE"),IF(G39&gt;=6,IF(E39&gt;=20,"H","A"),IF(G39&gt;=2,IF(E39&gt;=51,"H",IF(E39&lt;=19,"L","A")),IF(E39&lt;=50,"L","A"))),""))))</f>
      </c>
      <c r="M39" t="s" s="136">
        <f>CONCATENATE(C39,D39)</f>
      </c>
      <c r="N39" t="s" s="136">
        <f>IF(OR(K39="",K39=0),O39,K39)</f>
      </c>
      <c r="O39" t="s" s="138">
        <f>_xlfn.IFERROR(IF(NOT(ISERROR(VLOOKUP(C39,'Deflatores Sisp'!G$42:H$70,2,FALSE))),VLOOKUP(C39,'Deflatores Sisp'!G$42:H$70,2,FALSE),IF(OR(ISBLANK(D39),ISBLANK(C39)),"",VLOOKUP(D39,'Deflatores Sisp'!G$4:H$38,2,FALSE)*K39+VLOOKUP(D39,'Deflatores Sisp'!G$4:I$38,3,FALSE)))*W39,"")</f>
      </c>
      <c r="P39" t="s" s="156">
        <v>80</v>
      </c>
      <c r="Q39" t="s" s="136">
        <v>80</v>
      </c>
      <c r="R39" t="s" s="136">
        <v>80</v>
      </c>
      <c r="S39" t="s" s="136">
        <v>80</v>
      </c>
      <c r="T39" s="149"/>
      <c r="U39" t="s" s="136">
        <v>80</v>
      </c>
      <c r="V39" s="141"/>
      <c r="W39" s="142">
        <f>IF(V39="",SUM(Z39:AE39),IF(C39="PA",E39,100%))</f>
        <v>0.95</v>
      </c>
      <c r="X39" s="143"/>
      <c r="Y39" s="144"/>
      <c r="Z39" s="145">
        <f>IF(P39="x",25%,0)</f>
        <v>0.25</v>
      </c>
      <c r="AA39" s="145">
        <f>IF(Q39="x",10%,0)</f>
        <v>0.1</v>
      </c>
      <c r="AB39" s="145">
        <f>IF(R39="x",40%,0)</f>
        <v>0.4</v>
      </c>
      <c r="AC39" s="145">
        <f>IF(S39="x",15%,0)</f>
        <v>0.15</v>
      </c>
      <c r="AD39" s="145">
        <f>IF(T39="x",5%,0)</f>
        <v>0</v>
      </c>
      <c r="AE39" s="145">
        <f>IF(U39="x",5%,0)</f>
        <v>0.05</v>
      </c>
    </row>
    <row r="40" s="90" customFormat="1" ht="33" customHeight="1">
      <c r="A40" s="133"/>
      <c r="C40" s="170"/>
      <c r="D40" s="132"/>
      <c r="E40" s="132"/>
      <c r="F40" s="171"/>
      <c r="G40" s="132"/>
      <c r="H40" s="172"/>
      <c r="I40" t="s" s="135">
        <f>IF(ISBLANK(C40),"",IF(L40="L","Baixa",IF(L40="A","Média",IF(L40="","","Alta"))))</f>
      </c>
      <c r="J40" t="s" s="136">
        <f>CONCATENATE(C40,L40)</f>
      </c>
      <c r="K40" t="s" s="136">
        <f>IF(ISBLANK(C40),"",IF(C40="ALI",IF(L40="L",7,IF(L40="A",10,15)),IF(C40="AIE",IF(L40="L",5,IF(L40="A",7,10)),IF(C40="SE",IF(L40="L",4,IF(L40="A",5,7)),IF(OR(C40="EE",C40="CE"),IF(L40="L",3,IF(L40="A",4,6)),0)))))</f>
      </c>
      <c r="L40" t="s" s="137">
        <f>IF(OR(ISBLANK(E40),ISBLANK(G40)),IF(OR(C40="ALI",C40="AIE"),"L",IF(OR(C40="EE",C40="SE",C40="CE"),"A","")),IF(C40="EE",IF(G40&gt;=3,IF(E40&gt;=5,"H","A"),IF(G40&gt;=2,IF(E40&gt;=16,"H",IF(E40&lt;=4,"L","A")),IF(E40&lt;=15,"L","A"))),IF(OR(C40="SE",C40="CE"),IF(G40&gt;=4,IF(E40&gt;=6,"H","A"),IF(G40&gt;=2,IF(E40&gt;=20,"H",IF(E40&lt;=5,"L","A")),IF(E40&lt;=19,"L","A"))),IF(OR(C40="ALI",C40="AIE"),IF(G40&gt;=6,IF(E40&gt;=20,"H","A"),IF(G40&gt;=2,IF(E40&gt;=51,"H",IF(E40&lt;=19,"L","A")),IF(E40&lt;=50,"L","A"))),""))))</f>
      </c>
      <c r="M40" t="s" s="136">
        <f>CONCATENATE(C40,D40)</f>
      </c>
      <c r="N40" t="s" s="136">
        <f>IF(OR(K40="",K40=0),O40,K40)</f>
      </c>
      <c r="O40" t="s" s="138">
        <f>_xlfn.IFERROR(IF(NOT(ISERROR(VLOOKUP(C40,'Deflatores Sisp'!G$42:H$70,2,FALSE))),VLOOKUP(C40,'Deflatores Sisp'!G$42:H$70,2,FALSE),IF(OR(ISBLANK(D40),ISBLANK(C40)),"",VLOOKUP(D40,'Deflatores Sisp'!G$4:H$38,2,FALSE)*K40+VLOOKUP(D40,'Deflatores Sisp'!G$4:I$38,3,FALSE)))*W40,"")</f>
      </c>
      <c r="P40" t="s" s="156">
        <v>80</v>
      </c>
      <c r="Q40" t="s" s="136">
        <v>80</v>
      </c>
      <c r="R40" t="s" s="136">
        <v>80</v>
      </c>
      <c r="S40" t="s" s="136">
        <v>80</v>
      </c>
      <c r="T40" s="149"/>
      <c r="U40" t="s" s="136">
        <v>80</v>
      </c>
      <c r="V40" s="141"/>
      <c r="W40" s="142">
        <f>IF(V40="",SUM(Z40:AE40),IF(C40="PA",E40,100%))</f>
        <v>0.95</v>
      </c>
      <c r="X40" s="143"/>
      <c r="Y40" s="144"/>
      <c r="Z40" s="145">
        <f>IF(P40="x",25%,0)</f>
        <v>0.25</v>
      </c>
      <c r="AA40" s="145">
        <f>IF(Q40="x",10%,0)</f>
        <v>0.1</v>
      </c>
      <c r="AB40" s="145">
        <f>IF(R40="x",40%,0)</f>
        <v>0.4</v>
      </c>
      <c r="AC40" s="145">
        <f>IF(S40="x",15%,0)</f>
        <v>0.15</v>
      </c>
      <c r="AD40" s="145">
        <f>IF(T40="x",5%,0)</f>
        <v>0</v>
      </c>
      <c r="AE40" s="145">
        <f>IF(U40="x",5%,0)</f>
        <v>0.05</v>
      </c>
    </row>
    <row r="41" s="90" customFormat="1" ht="33" customHeight="1">
      <c r="A41" s="133"/>
      <c r="C41" s="170"/>
      <c r="D41" s="132"/>
      <c r="E41" s="132"/>
      <c r="F41" s="171"/>
      <c r="G41" s="132"/>
      <c r="H41" s="172"/>
      <c r="I41" t="s" s="135">
        <f>IF(ISBLANK(C41),"",IF(L41="L","Baixa",IF(L41="A","Média",IF(L41="","","Alta"))))</f>
      </c>
      <c r="J41" t="s" s="136">
        <f>CONCATENATE(C41,L41)</f>
      </c>
      <c r="K41" t="s" s="136">
        <f>IF(ISBLANK(C41),"",IF(C41="ALI",IF(L41="L",7,IF(L41="A",10,15)),IF(C41="AIE",IF(L41="L",5,IF(L41="A",7,10)),IF(C41="SE",IF(L41="L",4,IF(L41="A",5,7)),IF(OR(C41="EE",C41="CE"),IF(L41="L",3,IF(L41="A",4,6)),0)))))</f>
      </c>
      <c r="L41" t="s" s="137">
        <f>IF(OR(ISBLANK(E41),ISBLANK(G41)),IF(OR(C41="ALI",C41="AIE"),"L",IF(OR(C41="EE",C41="SE",C41="CE"),"A","")),IF(C41="EE",IF(G41&gt;=3,IF(E41&gt;=5,"H","A"),IF(G41&gt;=2,IF(E41&gt;=16,"H",IF(E41&lt;=4,"L","A")),IF(E41&lt;=15,"L","A"))),IF(OR(C41="SE",C41="CE"),IF(G41&gt;=4,IF(E41&gt;=6,"H","A"),IF(G41&gt;=2,IF(E41&gt;=20,"H",IF(E41&lt;=5,"L","A")),IF(E41&lt;=19,"L","A"))),IF(OR(C41="ALI",C41="AIE"),IF(G41&gt;=6,IF(E41&gt;=20,"H","A"),IF(G41&gt;=2,IF(E41&gt;=51,"H",IF(E41&lt;=19,"L","A")),IF(E41&lt;=50,"L","A"))),""))))</f>
      </c>
      <c r="M41" t="s" s="136">
        <f>CONCATENATE(C41,D41)</f>
      </c>
      <c r="N41" t="s" s="136">
        <f>IF(OR(K41="",K41=0),O41,K41)</f>
      </c>
      <c r="O41" t="s" s="138">
        <f>_xlfn.IFERROR(IF(NOT(ISERROR(VLOOKUP(C41,'Deflatores Sisp'!G$42:H$70,2,FALSE))),VLOOKUP(C41,'Deflatores Sisp'!G$42:H$70,2,FALSE),IF(OR(ISBLANK(D41),ISBLANK(C41)),"",VLOOKUP(D41,'Deflatores Sisp'!G$4:H$38,2,FALSE)*K41+VLOOKUP(D41,'Deflatores Sisp'!G$4:I$38,3,FALSE)))*W41,"")</f>
      </c>
      <c r="P41" t="s" s="156">
        <v>80</v>
      </c>
      <c r="Q41" t="s" s="136">
        <v>80</v>
      </c>
      <c r="R41" t="s" s="136">
        <v>80</v>
      </c>
      <c r="S41" t="s" s="136">
        <v>80</v>
      </c>
      <c r="T41" s="149"/>
      <c r="U41" t="s" s="136">
        <v>80</v>
      </c>
      <c r="V41" s="141"/>
      <c r="W41" s="142">
        <f>IF(V41="",SUM(Z41:AE41),IF(C41="PA",E41,100%))</f>
        <v>0.95</v>
      </c>
      <c r="X41" s="143"/>
      <c r="Y41" s="144"/>
      <c r="Z41" s="145">
        <f>IF(P41="x",25%,0)</f>
        <v>0.25</v>
      </c>
      <c r="AA41" s="145">
        <f>IF(Q41="x",10%,0)</f>
        <v>0.1</v>
      </c>
      <c r="AB41" s="145">
        <f>IF(R41="x",40%,0)</f>
        <v>0.4</v>
      </c>
      <c r="AC41" s="145">
        <f>IF(S41="x",15%,0)</f>
        <v>0.15</v>
      </c>
      <c r="AD41" s="145">
        <f>IF(T41="x",5%,0)</f>
        <v>0</v>
      </c>
      <c r="AE41" s="145">
        <f>IF(U41="x",5%,0)</f>
        <v>0.05</v>
      </c>
    </row>
    <row r="42" s="90" customFormat="1" ht="33" customHeight="1">
      <c r="A42" s="133"/>
      <c r="C42" s="170"/>
      <c r="D42" s="132"/>
      <c r="E42" s="132"/>
      <c r="F42" s="171"/>
      <c r="G42" s="132"/>
      <c r="H42" s="172"/>
      <c r="I42" t="s" s="135">
        <f>IF(ISBLANK(C42),"",IF(L42="L","Baixa",IF(L42="A","Média",IF(L42="","","Alta"))))</f>
      </c>
      <c r="J42" t="s" s="136">
        <f>CONCATENATE(C42,L42)</f>
      </c>
      <c r="K42" t="s" s="136">
        <f>IF(ISBLANK(C42),"",IF(C42="ALI",IF(L42="L",7,IF(L42="A",10,15)),IF(C42="AIE",IF(L42="L",5,IF(L42="A",7,10)),IF(C42="SE",IF(L42="L",4,IF(L42="A",5,7)),IF(OR(C42="EE",C42="CE"),IF(L42="L",3,IF(L42="A",4,6)),0)))))</f>
      </c>
      <c r="L42" t="s" s="137">
        <f>IF(OR(ISBLANK(E42),ISBLANK(G42)),IF(OR(C42="ALI",C42="AIE"),"L",IF(OR(C42="EE",C42="SE",C42="CE"),"A","")),IF(C42="EE",IF(G42&gt;=3,IF(E42&gt;=5,"H","A"),IF(G42&gt;=2,IF(E42&gt;=16,"H",IF(E42&lt;=4,"L","A")),IF(E42&lt;=15,"L","A"))),IF(OR(C42="SE",C42="CE"),IF(G42&gt;=4,IF(E42&gt;=6,"H","A"),IF(G42&gt;=2,IF(E42&gt;=20,"H",IF(E42&lt;=5,"L","A")),IF(E42&lt;=19,"L","A"))),IF(OR(C42="ALI",C42="AIE"),IF(G42&gt;=6,IF(E42&gt;=20,"H","A"),IF(G42&gt;=2,IF(E42&gt;=51,"H",IF(E42&lt;=19,"L","A")),IF(E42&lt;=50,"L","A"))),""))))</f>
      </c>
      <c r="M42" t="s" s="136">
        <f>CONCATENATE(C42,D42)</f>
      </c>
      <c r="N42" t="s" s="136">
        <f>IF(OR(K42="",K42=0),O42,K42)</f>
      </c>
      <c r="O42" t="s" s="138">
        <f>_xlfn.IFERROR(IF(NOT(ISERROR(VLOOKUP(C42,'Deflatores Sisp'!G$42:H$70,2,FALSE))),VLOOKUP(C42,'Deflatores Sisp'!G$42:H$70,2,FALSE),IF(OR(ISBLANK(D42),ISBLANK(C42)),"",VLOOKUP(D42,'Deflatores Sisp'!G$4:H$38,2,FALSE)*K42+VLOOKUP(D42,'Deflatores Sisp'!G$4:I$38,3,FALSE)))*W42,"")</f>
      </c>
      <c r="P42" t="s" s="156">
        <v>80</v>
      </c>
      <c r="Q42" t="s" s="136">
        <v>80</v>
      </c>
      <c r="R42" t="s" s="136">
        <v>80</v>
      </c>
      <c r="S42" t="s" s="136">
        <v>80</v>
      </c>
      <c r="T42" s="149"/>
      <c r="U42" t="s" s="136">
        <v>80</v>
      </c>
      <c r="V42" s="141"/>
      <c r="W42" s="142">
        <f>IF(V42="",SUM(Z42:AE42),IF(C42="PA",E42,100%))</f>
        <v>0.95</v>
      </c>
      <c r="X42" s="143"/>
      <c r="Y42" s="144"/>
      <c r="Z42" s="145">
        <f>IF(P42="x",25%,0)</f>
        <v>0.25</v>
      </c>
      <c r="AA42" s="145">
        <f>IF(Q42="x",10%,0)</f>
        <v>0.1</v>
      </c>
      <c r="AB42" s="145">
        <f>IF(R42="x",40%,0)</f>
        <v>0.4</v>
      </c>
      <c r="AC42" s="145">
        <f>IF(S42="x",15%,0)</f>
        <v>0.15</v>
      </c>
      <c r="AD42" s="145">
        <f>IF(T42="x",5%,0)</f>
        <v>0</v>
      </c>
      <c r="AE42" s="145">
        <f>IF(U42="x",5%,0)</f>
        <v>0.05</v>
      </c>
    </row>
    <row r="43" s="90" customFormat="1" ht="33" customHeight="1">
      <c r="A43" s="133"/>
      <c r="C43" s="170"/>
      <c r="D43" s="132"/>
      <c r="E43" s="132"/>
      <c r="F43" s="171"/>
      <c r="G43" s="132"/>
      <c r="H43" s="172"/>
      <c r="I43" t="s" s="135">
        <f>IF(ISBLANK(C43),"",IF(L43="L","Baixa",IF(L43="A","Média",IF(L43="","","Alta"))))</f>
      </c>
      <c r="J43" t="s" s="136">
        <f>CONCATENATE(C43,L43)</f>
      </c>
      <c r="K43" t="s" s="136">
        <f>IF(ISBLANK(C43),"",IF(C43="ALI",IF(L43="L",7,IF(L43="A",10,15)),IF(C43="AIE",IF(L43="L",5,IF(L43="A",7,10)),IF(C43="SE",IF(L43="L",4,IF(L43="A",5,7)),IF(OR(C43="EE",C43="CE"),IF(L43="L",3,IF(L43="A",4,6)),0)))))</f>
      </c>
      <c r="L43" t="s" s="137">
        <f>IF(OR(ISBLANK(E43),ISBLANK(G43)),IF(OR(C43="ALI",C43="AIE"),"L",IF(OR(C43="EE",C43="SE",C43="CE"),"A","")),IF(C43="EE",IF(G43&gt;=3,IF(E43&gt;=5,"H","A"),IF(G43&gt;=2,IF(E43&gt;=16,"H",IF(E43&lt;=4,"L","A")),IF(E43&lt;=15,"L","A"))),IF(OR(C43="SE",C43="CE"),IF(G43&gt;=4,IF(E43&gt;=6,"H","A"),IF(G43&gt;=2,IF(E43&gt;=20,"H",IF(E43&lt;=5,"L","A")),IF(E43&lt;=19,"L","A"))),IF(OR(C43="ALI",C43="AIE"),IF(G43&gt;=6,IF(E43&gt;=20,"H","A"),IF(G43&gt;=2,IF(E43&gt;=51,"H",IF(E43&lt;=19,"L","A")),IF(E43&lt;=50,"L","A"))),""))))</f>
      </c>
      <c r="M43" t="s" s="136">
        <f>CONCATENATE(C43,D43)</f>
      </c>
      <c r="N43" t="s" s="136">
        <f>IF(OR(K43="",K43=0),O43,K43)</f>
      </c>
      <c r="O43" t="s" s="138">
        <f>_xlfn.IFERROR(IF(NOT(ISERROR(VLOOKUP(C43,'Deflatores Sisp'!G$42:H$70,2,FALSE))),VLOOKUP(C43,'Deflatores Sisp'!G$42:H$70,2,FALSE),IF(OR(ISBLANK(D43),ISBLANK(C43)),"",VLOOKUP(D43,'Deflatores Sisp'!G$4:H$38,2,FALSE)*K43+VLOOKUP(D43,'Deflatores Sisp'!G$4:I$38,3,FALSE)))*W43,"")</f>
      </c>
      <c r="P43" t="s" s="156">
        <v>80</v>
      </c>
      <c r="Q43" t="s" s="136">
        <v>80</v>
      </c>
      <c r="R43" t="s" s="136">
        <v>80</v>
      </c>
      <c r="S43" t="s" s="136">
        <v>80</v>
      </c>
      <c r="T43" s="149"/>
      <c r="U43" t="s" s="136">
        <v>80</v>
      </c>
      <c r="V43" s="141"/>
      <c r="W43" s="142">
        <f>IF(V43="",SUM(Z43:AE43),IF(C43="PA",E43,100%))</f>
        <v>0.95</v>
      </c>
      <c r="X43" s="143"/>
      <c r="Y43" s="144"/>
      <c r="Z43" s="145">
        <f>IF(P43="x",25%,0)</f>
        <v>0.25</v>
      </c>
      <c r="AA43" s="145">
        <f>IF(Q43="x",10%,0)</f>
        <v>0.1</v>
      </c>
      <c r="AB43" s="145">
        <f>IF(R43="x",40%,0)</f>
        <v>0.4</v>
      </c>
      <c r="AC43" s="145">
        <f>IF(S43="x",15%,0)</f>
        <v>0.15</v>
      </c>
      <c r="AD43" s="145">
        <f>IF(T43="x",5%,0)</f>
        <v>0</v>
      </c>
      <c r="AE43" s="145">
        <f>IF(U43="x",5%,0)</f>
        <v>0.05</v>
      </c>
    </row>
    <row r="44" s="90" customFormat="1" ht="33" customHeight="1">
      <c r="A44" s="133"/>
      <c r="C44" s="170"/>
      <c r="D44" s="132"/>
      <c r="E44" s="132"/>
      <c r="F44" s="171"/>
      <c r="G44" s="132"/>
      <c r="H44" s="172"/>
      <c r="I44" t="s" s="135">
        <f>IF(ISBLANK(C44),"",IF(L44="L","Baixa",IF(L44="A","Média",IF(L44="","","Alta"))))</f>
      </c>
      <c r="J44" t="s" s="136">
        <f>CONCATENATE(C44,L44)</f>
      </c>
      <c r="K44" t="s" s="136">
        <f>IF(ISBLANK(C44),"",IF(C44="ALI",IF(L44="L",7,IF(L44="A",10,15)),IF(C44="AIE",IF(L44="L",5,IF(L44="A",7,10)),IF(C44="SE",IF(L44="L",4,IF(L44="A",5,7)),IF(OR(C44="EE",C44="CE"),IF(L44="L",3,IF(L44="A",4,6)),0)))))</f>
      </c>
      <c r="L44" t="s" s="137">
        <f>IF(OR(ISBLANK(E44),ISBLANK(G44)),IF(OR(C44="ALI",C44="AIE"),"L",IF(OR(C44="EE",C44="SE",C44="CE"),"A","")),IF(C44="EE",IF(G44&gt;=3,IF(E44&gt;=5,"H","A"),IF(G44&gt;=2,IF(E44&gt;=16,"H",IF(E44&lt;=4,"L","A")),IF(E44&lt;=15,"L","A"))),IF(OR(C44="SE",C44="CE"),IF(G44&gt;=4,IF(E44&gt;=6,"H","A"),IF(G44&gt;=2,IF(E44&gt;=20,"H",IF(E44&lt;=5,"L","A")),IF(E44&lt;=19,"L","A"))),IF(OR(C44="ALI",C44="AIE"),IF(G44&gt;=6,IF(E44&gt;=20,"H","A"),IF(G44&gt;=2,IF(E44&gt;=51,"H",IF(E44&lt;=19,"L","A")),IF(E44&lt;=50,"L","A"))),""))))</f>
      </c>
      <c r="M44" t="s" s="136">
        <f>CONCATENATE(C44,D44)</f>
      </c>
      <c r="N44" t="s" s="136">
        <f>IF(OR(K44="",K44=0),O44,K44)</f>
      </c>
      <c r="O44" t="s" s="138">
        <f>_xlfn.IFERROR(IF(NOT(ISERROR(VLOOKUP(C44,'Deflatores Sisp'!G$42:H$70,2,FALSE))),VLOOKUP(C44,'Deflatores Sisp'!G$42:H$70,2,FALSE),IF(OR(ISBLANK(D44),ISBLANK(C44)),"",VLOOKUP(D44,'Deflatores Sisp'!G$4:H$38,2,FALSE)*K44+VLOOKUP(D44,'Deflatores Sisp'!G$4:I$38,3,FALSE)))*W44,"")</f>
      </c>
      <c r="P44" t="s" s="156">
        <v>80</v>
      </c>
      <c r="Q44" t="s" s="136">
        <v>80</v>
      </c>
      <c r="R44" t="s" s="136">
        <v>80</v>
      </c>
      <c r="S44" t="s" s="136">
        <v>80</v>
      </c>
      <c r="T44" s="149"/>
      <c r="U44" t="s" s="136">
        <v>80</v>
      </c>
      <c r="V44" s="141"/>
      <c r="W44" s="142">
        <f>IF(V44="",SUM(Z44:AE44),IF(C44="PA",E44,100%))</f>
        <v>0.95</v>
      </c>
      <c r="X44" s="143"/>
      <c r="Y44" s="144"/>
      <c r="Z44" s="145">
        <f>IF(P44="x",25%,0)</f>
        <v>0.25</v>
      </c>
      <c r="AA44" s="145">
        <f>IF(Q44="x",10%,0)</f>
        <v>0.1</v>
      </c>
      <c r="AB44" s="145">
        <f>IF(R44="x",40%,0)</f>
        <v>0.4</v>
      </c>
      <c r="AC44" s="145">
        <f>IF(S44="x",15%,0)</f>
        <v>0.15</v>
      </c>
      <c r="AD44" s="145">
        <f>IF(T44="x",5%,0)</f>
        <v>0</v>
      </c>
      <c r="AE44" s="145">
        <f>IF(U44="x",5%,0)</f>
        <v>0.05</v>
      </c>
    </row>
    <row r="45" s="90" customFormat="1" ht="33" customHeight="1">
      <c r="A45" s="133"/>
      <c r="C45" s="170"/>
      <c r="D45" s="132"/>
      <c r="E45" s="132"/>
      <c r="F45" s="171"/>
      <c r="G45" s="132"/>
      <c r="H45" s="172"/>
      <c r="I45" t="s" s="135">
        <f>IF(ISBLANK(C45),"",IF(L45="L","Baixa",IF(L45="A","Média",IF(L45="","","Alta"))))</f>
      </c>
      <c r="J45" t="s" s="136">
        <f>CONCATENATE(C45,L45)</f>
      </c>
      <c r="K45" t="s" s="136">
        <f>IF(ISBLANK(C45),"",IF(C45="ALI",IF(L45="L",7,IF(L45="A",10,15)),IF(C45="AIE",IF(L45="L",5,IF(L45="A",7,10)),IF(C45="SE",IF(L45="L",4,IF(L45="A",5,7)),IF(OR(C45="EE",C45="CE"),IF(L45="L",3,IF(L45="A",4,6)),0)))))</f>
      </c>
      <c r="L45" t="s" s="137">
        <f>IF(OR(ISBLANK(E45),ISBLANK(G45)),IF(OR(C45="ALI",C45="AIE"),"L",IF(OR(C45="EE",C45="SE",C45="CE"),"A","")),IF(C45="EE",IF(G45&gt;=3,IF(E45&gt;=5,"H","A"),IF(G45&gt;=2,IF(E45&gt;=16,"H",IF(E45&lt;=4,"L","A")),IF(E45&lt;=15,"L","A"))),IF(OR(C45="SE",C45="CE"),IF(G45&gt;=4,IF(E45&gt;=6,"H","A"),IF(G45&gt;=2,IF(E45&gt;=20,"H",IF(E45&lt;=5,"L","A")),IF(E45&lt;=19,"L","A"))),IF(OR(C45="ALI",C45="AIE"),IF(G45&gt;=6,IF(E45&gt;=20,"H","A"),IF(G45&gt;=2,IF(E45&gt;=51,"H",IF(E45&lt;=19,"L","A")),IF(E45&lt;=50,"L","A"))),""))))</f>
      </c>
      <c r="M45" t="s" s="136">
        <f>CONCATENATE(C45,D45)</f>
      </c>
      <c r="N45" t="s" s="136">
        <f>IF(OR(K45="",K45=0),O45,K45)</f>
      </c>
      <c r="O45" t="s" s="138">
        <f>_xlfn.IFERROR(IF(NOT(ISERROR(VLOOKUP(C45,'Deflatores Sisp'!G$42:H$70,2,FALSE))),VLOOKUP(C45,'Deflatores Sisp'!G$42:H$70,2,FALSE),IF(OR(ISBLANK(D45),ISBLANK(C45)),"",VLOOKUP(D45,'Deflatores Sisp'!G$4:H$38,2,FALSE)*K45+VLOOKUP(D45,'Deflatores Sisp'!G$4:I$38,3,FALSE)))*W45,"")</f>
      </c>
      <c r="P45" t="s" s="156">
        <v>80</v>
      </c>
      <c r="Q45" t="s" s="136">
        <v>80</v>
      </c>
      <c r="R45" t="s" s="136">
        <v>80</v>
      </c>
      <c r="S45" t="s" s="136">
        <v>80</v>
      </c>
      <c r="T45" s="149"/>
      <c r="U45" t="s" s="136">
        <v>80</v>
      </c>
      <c r="V45" s="141"/>
      <c r="W45" s="142">
        <f>IF(V45="",SUM(Z45:AE45),IF(C45="PA",E45,100%))</f>
        <v>0.95</v>
      </c>
      <c r="X45" s="143"/>
      <c r="Y45" s="144"/>
      <c r="Z45" s="145">
        <f>IF(P45="x",25%,0)</f>
        <v>0.25</v>
      </c>
      <c r="AA45" s="145">
        <f>IF(Q45="x",10%,0)</f>
        <v>0.1</v>
      </c>
      <c r="AB45" s="145">
        <f>IF(R45="x",40%,0)</f>
        <v>0.4</v>
      </c>
      <c r="AC45" s="145">
        <f>IF(S45="x",15%,0)</f>
        <v>0.15</v>
      </c>
      <c r="AD45" s="145">
        <f>IF(T45="x",5%,0)</f>
        <v>0</v>
      </c>
      <c r="AE45" s="145">
        <f>IF(U45="x",5%,0)</f>
        <v>0.05</v>
      </c>
    </row>
    <row r="46" s="90" customFormat="1" ht="33" customHeight="1">
      <c r="A46" s="133"/>
      <c r="C46" s="170"/>
      <c r="D46" s="132"/>
      <c r="E46" s="132"/>
      <c r="F46" s="171"/>
      <c r="G46" s="132"/>
      <c r="H46" s="172"/>
      <c r="I46" t="s" s="135">
        <f>IF(ISBLANK(C46),"",IF(L46="L","Baixa",IF(L46="A","Média",IF(L46="","","Alta"))))</f>
      </c>
      <c r="J46" t="s" s="136">
        <f>CONCATENATE(C46,L46)</f>
      </c>
      <c r="K46" t="s" s="136">
        <f>IF(ISBLANK(C46),"",IF(C46="ALI",IF(L46="L",7,IF(L46="A",10,15)),IF(C46="AIE",IF(L46="L",5,IF(L46="A",7,10)),IF(C46="SE",IF(L46="L",4,IF(L46="A",5,7)),IF(OR(C46="EE",C46="CE"),IF(L46="L",3,IF(L46="A",4,6)),0)))))</f>
      </c>
      <c r="L46" t="s" s="137">
        <f>IF(OR(ISBLANK(E46),ISBLANK(G46)),IF(OR(C46="ALI",C46="AIE"),"L",IF(OR(C46="EE",C46="SE",C46="CE"),"A","")),IF(C46="EE",IF(G46&gt;=3,IF(E46&gt;=5,"H","A"),IF(G46&gt;=2,IF(E46&gt;=16,"H",IF(E46&lt;=4,"L","A")),IF(E46&lt;=15,"L","A"))),IF(OR(C46="SE",C46="CE"),IF(G46&gt;=4,IF(E46&gt;=6,"H","A"),IF(G46&gt;=2,IF(E46&gt;=20,"H",IF(E46&lt;=5,"L","A")),IF(E46&lt;=19,"L","A"))),IF(OR(C46="ALI",C46="AIE"),IF(G46&gt;=6,IF(E46&gt;=20,"H","A"),IF(G46&gt;=2,IF(E46&gt;=51,"H",IF(E46&lt;=19,"L","A")),IF(E46&lt;=50,"L","A"))),""))))</f>
      </c>
      <c r="M46" t="s" s="136">
        <f>CONCATENATE(C46,D46)</f>
      </c>
      <c r="N46" t="s" s="136">
        <f>IF(OR(K46="",K46=0),O46,K46)</f>
      </c>
      <c r="O46" t="s" s="138">
        <f>_xlfn.IFERROR(IF(NOT(ISERROR(VLOOKUP(C46,'Deflatores Sisp'!G$42:H$70,2,FALSE))),VLOOKUP(C46,'Deflatores Sisp'!G$42:H$70,2,FALSE),IF(OR(ISBLANK(D46),ISBLANK(C46)),"",VLOOKUP(D46,'Deflatores Sisp'!G$4:H$38,2,FALSE)*K46+VLOOKUP(D46,'Deflatores Sisp'!G$4:I$38,3,FALSE)))*W46,"")</f>
      </c>
      <c r="P46" t="s" s="156">
        <v>80</v>
      </c>
      <c r="Q46" t="s" s="136">
        <v>80</v>
      </c>
      <c r="R46" t="s" s="136">
        <v>80</v>
      </c>
      <c r="S46" t="s" s="136">
        <v>80</v>
      </c>
      <c r="T46" s="149"/>
      <c r="U46" t="s" s="136">
        <v>80</v>
      </c>
      <c r="V46" s="141"/>
      <c r="W46" s="142">
        <f>IF(V46="",SUM(Z46:AE46),IF(C46="PA",E46,100%))</f>
        <v>0.95</v>
      </c>
      <c r="X46" s="143"/>
      <c r="Y46" s="144"/>
      <c r="Z46" s="145">
        <f>IF(P46="x",25%,0)</f>
        <v>0.25</v>
      </c>
      <c r="AA46" s="145">
        <f>IF(Q46="x",10%,0)</f>
        <v>0.1</v>
      </c>
      <c r="AB46" s="145">
        <f>IF(R46="x",40%,0)</f>
        <v>0.4</v>
      </c>
      <c r="AC46" s="145">
        <f>IF(S46="x",15%,0)</f>
        <v>0.15</v>
      </c>
      <c r="AD46" s="145">
        <f>IF(T46="x",5%,0)</f>
        <v>0</v>
      </c>
      <c r="AE46" s="145">
        <f>IF(U46="x",5%,0)</f>
        <v>0.05</v>
      </c>
    </row>
    <row r="47" s="90" customFormat="1" ht="33" customHeight="1">
      <c r="A47" s="133"/>
      <c r="C47" s="170"/>
      <c r="D47" s="132"/>
      <c r="E47" s="132"/>
      <c r="F47" s="171"/>
      <c r="G47" s="132"/>
      <c r="H47" s="172"/>
      <c r="I47" t="s" s="135">
        <f>IF(ISBLANK(C47),"",IF(L47="L","Baixa",IF(L47="A","Média",IF(L47="","","Alta"))))</f>
      </c>
      <c r="J47" t="s" s="136">
        <f>CONCATENATE(C47,L47)</f>
      </c>
      <c r="K47" t="s" s="136">
        <f>IF(ISBLANK(C47),"",IF(C47="ALI",IF(L47="L",7,IF(L47="A",10,15)),IF(C47="AIE",IF(L47="L",5,IF(L47="A",7,10)),IF(C47="SE",IF(L47="L",4,IF(L47="A",5,7)),IF(OR(C47="EE",C47="CE"),IF(L47="L",3,IF(L47="A",4,6)),0)))))</f>
      </c>
      <c r="L47" t="s" s="137">
        <f>IF(OR(ISBLANK(E47),ISBLANK(G47)),IF(OR(C47="ALI",C47="AIE"),"L",IF(OR(C47="EE",C47="SE",C47="CE"),"A","")),IF(C47="EE",IF(G47&gt;=3,IF(E47&gt;=5,"H","A"),IF(G47&gt;=2,IF(E47&gt;=16,"H",IF(E47&lt;=4,"L","A")),IF(E47&lt;=15,"L","A"))),IF(OR(C47="SE",C47="CE"),IF(G47&gt;=4,IF(E47&gt;=6,"H","A"),IF(G47&gt;=2,IF(E47&gt;=20,"H",IF(E47&lt;=5,"L","A")),IF(E47&lt;=19,"L","A"))),IF(OR(C47="ALI",C47="AIE"),IF(G47&gt;=6,IF(E47&gt;=20,"H","A"),IF(G47&gt;=2,IF(E47&gt;=51,"H",IF(E47&lt;=19,"L","A")),IF(E47&lt;=50,"L","A"))),""))))</f>
      </c>
      <c r="M47" t="s" s="136">
        <f>CONCATENATE(C47,D47)</f>
      </c>
      <c r="N47" t="s" s="136">
        <f>IF(OR(K47="",K47=0),O47,K47)</f>
      </c>
      <c r="O47" t="s" s="138">
        <f>_xlfn.IFERROR(IF(NOT(ISERROR(VLOOKUP(C47,'Deflatores Sisp'!G$42:H$70,2,FALSE))),VLOOKUP(C47,'Deflatores Sisp'!G$42:H$70,2,FALSE),IF(OR(ISBLANK(D47),ISBLANK(C47)),"",VLOOKUP(D47,'Deflatores Sisp'!G$4:H$38,2,FALSE)*K47+VLOOKUP(D47,'Deflatores Sisp'!G$4:I$38,3,FALSE)))*W47,"")</f>
      </c>
      <c r="P47" t="s" s="156">
        <v>80</v>
      </c>
      <c r="Q47" t="s" s="136">
        <v>80</v>
      </c>
      <c r="R47" t="s" s="136">
        <v>80</v>
      </c>
      <c r="S47" t="s" s="136">
        <v>80</v>
      </c>
      <c r="T47" s="149"/>
      <c r="U47" t="s" s="136">
        <v>80</v>
      </c>
      <c r="V47" s="141"/>
      <c r="W47" s="142">
        <f>IF(V47="",SUM(Z47:AE47),IF(C47="PA",E47,100%))</f>
        <v>0.95</v>
      </c>
      <c r="X47" s="143"/>
      <c r="Y47" s="144"/>
      <c r="Z47" s="145">
        <f>IF(P47="x",25%,0)</f>
        <v>0.25</v>
      </c>
      <c r="AA47" s="145">
        <f>IF(Q47="x",10%,0)</f>
        <v>0.1</v>
      </c>
      <c r="AB47" s="145">
        <f>IF(R47="x",40%,0)</f>
        <v>0.4</v>
      </c>
      <c r="AC47" s="145">
        <f>IF(S47="x",15%,0)</f>
        <v>0.15</v>
      </c>
      <c r="AD47" s="145">
        <f>IF(T47="x",5%,0)</f>
        <v>0</v>
      </c>
      <c r="AE47" s="145">
        <f>IF(U47="x",5%,0)</f>
        <v>0.05</v>
      </c>
    </row>
    <row r="48" s="90" customFormat="1" ht="33" customHeight="1">
      <c r="A48" s="133"/>
      <c r="C48" s="170"/>
      <c r="D48" s="132"/>
      <c r="E48" s="132"/>
      <c r="F48" s="171"/>
      <c r="G48" s="132"/>
      <c r="H48" s="172"/>
      <c r="I48" t="s" s="135">
        <f>IF(ISBLANK(C48),"",IF(L48="L","Baixa",IF(L48="A","Média",IF(L48="","","Alta"))))</f>
      </c>
      <c r="J48" t="s" s="136">
        <f>CONCATENATE(C48,L48)</f>
      </c>
      <c r="K48" t="s" s="136">
        <f>IF(ISBLANK(C48),"",IF(C48="ALI",IF(L48="L",7,IF(L48="A",10,15)),IF(C48="AIE",IF(L48="L",5,IF(L48="A",7,10)),IF(C48="SE",IF(L48="L",4,IF(L48="A",5,7)),IF(OR(C48="EE",C48="CE"),IF(L48="L",3,IF(L48="A",4,6)),0)))))</f>
      </c>
      <c r="L48" t="s" s="137">
        <f>IF(OR(ISBLANK(E48),ISBLANK(G48)),IF(OR(C48="ALI",C48="AIE"),"L",IF(OR(C48="EE",C48="SE",C48="CE"),"A","")),IF(C48="EE",IF(G48&gt;=3,IF(E48&gt;=5,"H","A"),IF(G48&gt;=2,IF(E48&gt;=16,"H",IF(E48&lt;=4,"L","A")),IF(E48&lt;=15,"L","A"))),IF(OR(C48="SE",C48="CE"),IF(G48&gt;=4,IF(E48&gt;=6,"H","A"),IF(G48&gt;=2,IF(E48&gt;=20,"H",IF(E48&lt;=5,"L","A")),IF(E48&lt;=19,"L","A"))),IF(OR(C48="ALI",C48="AIE"),IF(G48&gt;=6,IF(E48&gt;=20,"H","A"),IF(G48&gt;=2,IF(E48&gt;=51,"H",IF(E48&lt;=19,"L","A")),IF(E48&lt;=50,"L","A"))),""))))</f>
      </c>
      <c r="M48" t="s" s="136">
        <f>CONCATENATE(C48,D48)</f>
      </c>
      <c r="N48" t="s" s="136">
        <f>IF(OR(K48="",K48=0),O48,K48)</f>
      </c>
      <c r="O48" t="s" s="138">
        <f>_xlfn.IFERROR(IF(NOT(ISERROR(VLOOKUP(C48,'Deflatores Sisp'!G$42:H$70,2,FALSE))),VLOOKUP(C48,'Deflatores Sisp'!G$42:H$70,2,FALSE),IF(OR(ISBLANK(D48),ISBLANK(C48)),"",VLOOKUP(D48,'Deflatores Sisp'!G$4:H$38,2,FALSE)*K48+VLOOKUP(D48,'Deflatores Sisp'!G$4:I$38,3,FALSE)))*W48,"")</f>
      </c>
      <c r="P48" t="s" s="156">
        <v>80</v>
      </c>
      <c r="Q48" t="s" s="136">
        <v>80</v>
      </c>
      <c r="R48" t="s" s="136">
        <v>80</v>
      </c>
      <c r="S48" t="s" s="136">
        <v>80</v>
      </c>
      <c r="T48" s="149"/>
      <c r="U48" t="s" s="136">
        <v>80</v>
      </c>
      <c r="V48" s="141"/>
      <c r="W48" s="142">
        <f>IF(V48="",SUM(Z48:AE48),IF(C48="PA",E48,100%))</f>
        <v>0.95</v>
      </c>
      <c r="X48" s="143"/>
      <c r="Y48" s="144"/>
      <c r="Z48" s="145">
        <f>IF(P48="x",25%,0)</f>
        <v>0.25</v>
      </c>
      <c r="AA48" s="145">
        <f>IF(Q48="x",10%,0)</f>
        <v>0.1</v>
      </c>
      <c r="AB48" s="145">
        <f>IF(R48="x",40%,0)</f>
        <v>0.4</v>
      </c>
      <c r="AC48" s="145">
        <f>IF(S48="x",15%,0)</f>
        <v>0.15</v>
      </c>
      <c r="AD48" s="145">
        <f>IF(T48="x",5%,0)</f>
        <v>0</v>
      </c>
      <c r="AE48" s="145">
        <f>IF(U48="x",5%,0)</f>
        <v>0.05</v>
      </c>
    </row>
    <row r="49" s="90" customFormat="1" ht="33" customHeight="1">
      <c r="A49" s="133"/>
      <c r="C49" s="170"/>
      <c r="D49" s="132"/>
      <c r="E49" s="132"/>
      <c r="F49" s="171"/>
      <c r="G49" s="132"/>
      <c r="H49" s="172"/>
      <c r="I49" t="s" s="135">
        <f>IF(ISBLANK(C49),"",IF(L49="L","Baixa",IF(L49="A","Média",IF(L49="","","Alta"))))</f>
      </c>
      <c r="J49" t="s" s="136">
        <f>CONCATENATE(C49,L49)</f>
      </c>
      <c r="K49" t="s" s="136">
        <f>IF(ISBLANK(C49),"",IF(C49="ALI",IF(L49="L",7,IF(L49="A",10,15)),IF(C49="AIE",IF(L49="L",5,IF(L49="A",7,10)),IF(C49="SE",IF(L49="L",4,IF(L49="A",5,7)),IF(OR(C49="EE",C49="CE"),IF(L49="L",3,IF(L49="A",4,6)),0)))))</f>
      </c>
      <c r="L49" t="s" s="137">
        <f>IF(OR(ISBLANK(E49),ISBLANK(G49)),IF(OR(C49="ALI",C49="AIE"),"L",IF(OR(C49="EE",C49="SE",C49="CE"),"A","")),IF(C49="EE",IF(G49&gt;=3,IF(E49&gt;=5,"H","A"),IF(G49&gt;=2,IF(E49&gt;=16,"H",IF(E49&lt;=4,"L","A")),IF(E49&lt;=15,"L","A"))),IF(OR(C49="SE",C49="CE"),IF(G49&gt;=4,IF(E49&gt;=6,"H","A"),IF(G49&gt;=2,IF(E49&gt;=20,"H",IF(E49&lt;=5,"L","A")),IF(E49&lt;=19,"L","A"))),IF(OR(C49="ALI",C49="AIE"),IF(G49&gt;=6,IF(E49&gt;=20,"H","A"),IF(G49&gt;=2,IF(E49&gt;=51,"H",IF(E49&lt;=19,"L","A")),IF(E49&lt;=50,"L","A"))),""))))</f>
      </c>
      <c r="M49" t="s" s="136">
        <f>CONCATENATE(C49,D49)</f>
      </c>
      <c r="N49" t="s" s="136">
        <f>IF(OR(K49="",K49=0),O49,K49)</f>
      </c>
      <c r="O49" t="s" s="138">
        <f>_xlfn.IFERROR(IF(NOT(ISERROR(VLOOKUP(C49,'Deflatores Sisp'!G$42:H$70,2,FALSE))),VLOOKUP(C49,'Deflatores Sisp'!G$42:H$70,2,FALSE),IF(OR(ISBLANK(D49),ISBLANK(C49)),"",VLOOKUP(D49,'Deflatores Sisp'!G$4:H$38,2,FALSE)*K49+VLOOKUP(D49,'Deflatores Sisp'!G$4:I$38,3,FALSE)))*W49,"")</f>
      </c>
      <c r="P49" t="s" s="156">
        <v>80</v>
      </c>
      <c r="Q49" t="s" s="136">
        <v>80</v>
      </c>
      <c r="R49" t="s" s="136">
        <v>80</v>
      </c>
      <c r="S49" t="s" s="136">
        <v>80</v>
      </c>
      <c r="T49" s="149"/>
      <c r="U49" t="s" s="136">
        <v>80</v>
      </c>
      <c r="V49" s="141"/>
      <c r="W49" s="142">
        <f>IF(V49="",SUM(Z49:AE49),IF(C49="PA",E49,100%))</f>
        <v>0.95</v>
      </c>
      <c r="X49" s="143"/>
      <c r="Y49" s="144"/>
      <c r="Z49" s="145">
        <f>IF(P49="x",25%,0)</f>
        <v>0.25</v>
      </c>
      <c r="AA49" s="145">
        <f>IF(Q49="x",10%,0)</f>
        <v>0.1</v>
      </c>
      <c r="AB49" s="145">
        <f>IF(R49="x",40%,0)</f>
        <v>0.4</v>
      </c>
      <c r="AC49" s="145">
        <f>IF(S49="x",15%,0)</f>
        <v>0.15</v>
      </c>
      <c r="AD49" s="145">
        <f>IF(T49="x",5%,0)</f>
        <v>0</v>
      </c>
      <c r="AE49" s="145">
        <f>IF(U49="x",5%,0)</f>
        <v>0.05</v>
      </c>
    </row>
    <row r="50" s="90" customFormat="1" ht="33" customHeight="1">
      <c r="A50" s="133"/>
      <c r="C50" s="170"/>
      <c r="D50" s="132"/>
      <c r="E50" s="132"/>
      <c r="F50" s="171"/>
      <c r="G50" s="132"/>
      <c r="H50" s="172"/>
      <c r="I50" t="s" s="135">
        <f>IF(ISBLANK(C50),"",IF(L50="L","Baixa",IF(L50="A","Média",IF(L50="","","Alta"))))</f>
      </c>
      <c r="J50" t="s" s="136">
        <f>CONCATENATE(C50,L50)</f>
      </c>
      <c r="K50" t="s" s="136">
        <f>IF(ISBLANK(C50),"",IF(C50="ALI",IF(L50="L",7,IF(L50="A",10,15)),IF(C50="AIE",IF(L50="L",5,IF(L50="A",7,10)),IF(C50="SE",IF(L50="L",4,IF(L50="A",5,7)),IF(OR(C50="EE",C50="CE"),IF(L50="L",3,IF(L50="A",4,6)),0)))))</f>
      </c>
      <c r="L50" t="s" s="137">
        <f>IF(OR(ISBLANK(E50),ISBLANK(G50)),IF(OR(C50="ALI",C50="AIE"),"L",IF(OR(C50="EE",C50="SE",C50="CE"),"A","")),IF(C50="EE",IF(G50&gt;=3,IF(E50&gt;=5,"H","A"),IF(G50&gt;=2,IF(E50&gt;=16,"H",IF(E50&lt;=4,"L","A")),IF(E50&lt;=15,"L","A"))),IF(OR(C50="SE",C50="CE"),IF(G50&gt;=4,IF(E50&gt;=6,"H","A"),IF(G50&gt;=2,IF(E50&gt;=20,"H",IF(E50&lt;=5,"L","A")),IF(E50&lt;=19,"L","A"))),IF(OR(C50="ALI",C50="AIE"),IF(G50&gt;=6,IF(E50&gt;=20,"H","A"),IF(G50&gt;=2,IF(E50&gt;=51,"H",IF(E50&lt;=19,"L","A")),IF(E50&lt;=50,"L","A"))),""))))</f>
      </c>
      <c r="M50" t="s" s="136">
        <f>CONCATENATE(C50,D50)</f>
      </c>
      <c r="N50" t="s" s="136">
        <f>IF(OR(K50="",K50=0),O50,K50)</f>
      </c>
      <c r="O50" t="s" s="138">
        <f>_xlfn.IFERROR(IF(NOT(ISERROR(VLOOKUP(C50,'Deflatores Sisp'!G$42:H$70,2,FALSE))),VLOOKUP(C50,'Deflatores Sisp'!G$42:H$70,2,FALSE),IF(OR(ISBLANK(D50),ISBLANK(C50)),"",VLOOKUP(D50,'Deflatores Sisp'!G$4:H$38,2,FALSE)*K50+VLOOKUP(D50,'Deflatores Sisp'!G$4:I$38,3,FALSE)))*W50,"")</f>
      </c>
      <c r="P50" t="s" s="156">
        <v>80</v>
      </c>
      <c r="Q50" t="s" s="136">
        <v>80</v>
      </c>
      <c r="R50" t="s" s="136">
        <v>80</v>
      </c>
      <c r="S50" t="s" s="136">
        <v>80</v>
      </c>
      <c r="T50" s="149"/>
      <c r="U50" t="s" s="136">
        <v>80</v>
      </c>
      <c r="V50" s="141"/>
      <c r="W50" s="142">
        <f>IF(V50="",SUM(Z50:AE50),IF(C50="PA",E50,100%))</f>
        <v>0.95</v>
      </c>
      <c r="X50" s="143"/>
      <c r="Y50" s="144"/>
      <c r="Z50" s="145">
        <f>IF(P50="x",25%,0)</f>
        <v>0.25</v>
      </c>
      <c r="AA50" s="145">
        <f>IF(Q50="x",10%,0)</f>
        <v>0.1</v>
      </c>
      <c r="AB50" s="145">
        <f>IF(R50="x",40%,0)</f>
        <v>0.4</v>
      </c>
      <c r="AC50" s="145">
        <f>IF(S50="x",15%,0)</f>
        <v>0.15</v>
      </c>
      <c r="AD50" s="145">
        <f>IF(T50="x",5%,0)</f>
        <v>0</v>
      </c>
      <c r="AE50" s="145">
        <f>IF(U50="x",5%,0)</f>
        <v>0.05</v>
      </c>
    </row>
    <row r="51" s="90" customFormat="1" ht="33" customHeight="1">
      <c r="A51" s="133"/>
      <c r="C51" s="170"/>
      <c r="D51" s="132"/>
      <c r="E51" s="132"/>
      <c r="F51" s="171"/>
      <c r="G51" s="132"/>
      <c r="H51" s="172"/>
      <c r="I51" t="s" s="135">
        <f>IF(ISBLANK(C51),"",IF(L51="L","Baixa",IF(L51="A","Média",IF(L51="","","Alta"))))</f>
      </c>
      <c r="J51" t="s" s="136">
        <f>CONCATENATE(C51,L51)</f>
      </c>
      <c r="K51" t="s" s="136">
        <f>IF(ISBLANK(C51),"",IF(C51="ALI",IF(L51="L",7,IF(L51="A",10,15)),IF(C51="AIE",IF(L51="L",5,IF(L51="A",7,10)),IF(C51="SE",IF(L51="L",4,IF(L51="A",5,7)),IF(OR(C51="EE",C51="CE"),IF(L51="L",3,IF(L51="A",4,6)),0)))))</f>
      </c>
      <c r="L51" t="s" s="137">
        <f>IF(OR(ISBLANK(E51),ISBLANK(G51)),IF(OR(C51="ALI",C51="AIE"),"L",IF(OR(C51="EE",C51="SE",C51="CE"),"A","")),IF(C51="EE",IF(G51&gt;=3,IF(E51&gt;=5,"H","A"),IF(G51&gt;=2,IF(E51&gt;=16,"H",IF(E51&lt;=4,"L","A")),IF(E51&lt;=15,"L","A"))),IF(OR(C51="SE",C51="CE"),IF(G51&gt;=4,IF(E51&gt;=6,"H","A"),IF(G51&gt;=2,IF(E51&gt;=20,"H",IF(E51&lt;=5,"L","A")),IF(E51&lt;=19,"L","A"))),IF(OR(C51="ALI",C51="AIE"),IF(G51&gt;=6,IF(E51&gt;=20,"H","A"),IF(G51&gt;=2,IF(E51&gt;=51,"H",IF(E51&lt;=19,"L","A")),IF(E51&lt;=50,"L","A"))),""))))</f>
      </c>
      <c r="M51" t="s" s="136">
        <f>CONCATENATE(C51,D51)</f>
      </c>
      <c r="N51" t="s" s="136">
        <f>IF(OR(K51="",K51=0),O51,K51)</f>
      </c>
      <c r="O51" t="s" s="138">
        <f>_xlfn.IFERROR(IF(NOT(ISERROR(VLOOKUP(C51,'Deflatores Sisp'!G$42:H$70,2,FALSE))),VLOOKUP(C51,'Deflatores Sisp'!G$42:H$70,2,FALSE),IF(OR(ISBLANK(D51),ISBLANK(C51)),"",VLOOKUP(D51,'Deflatores Sisp'!G$4:H$38,2,FALSE)*K51+VLOOKUP(D51,'Deflatores Sisp'!G$4:I$38,3,FALSE)))*W51,"")</f>
      </c>
      <c r="P51" t="s" s="156">
        <v>80</v>
      </c>
      <c r="Q51" t="s" s="136">
        <v>80</v>
      </c>
      <c r="R51" t="s" s="136">
        <v>80</v>
      </c>
      <c r="S51" t="s" s="136">
        <v>80</v>
      </c>
      <c r="T51" s="149"/>
      <c r="U51" t="s" s="136">
        <v>80</v>
      </c>
      <c r="V51" s="141"/>
      <c r="W51" s="142">
        <f>IF(V51="",SUM(Z51:AE51),IF(C51="PA",E51,100%))</f>
        <v>0.95</v>
      </c>
      <c r="X51" s="143"/>
      <c r="Y51" s="144"/>
      <c r="Z51" s="145">
        <f>IF(P51="x",25%,0)</f>
        <v>0.25</v>
      </c>
      <c r="AA51" s="145">
        <f>IF(Q51="x",10%,0)</f>
        <v>0.1</v>
      </c>
      <c r="AB51" s="145">
        <f>IF(R51="x",40%,0)</f>
        <v>0.4</v>
      </c>
      <c r="AC51" s="145">
        <f>IF(S51="x",15%,0)</f>
        <v>0.15</v>
      </c>
      <c r="AD51" s="145">
        <f>IF(T51="x",5%,0)</f>
        <v>0</v>
      </c>
      <c r="AE51" s="145">
        <f>IF(U51="x",5%,0)</f>
        <v>0.05</v>
      </c>
    </row>
    <row r="52" s="90" customFormat="1" ht="33" customHeight="1">
      <c r="A52" s="133"/>
      <c r="C52" s="170"/>
      <c r="D52" s="132"/>
      <c r="E52" s="132"/>
      <c r="F52" s="171"/>
      <c r="G52" s="132"/>
      <c r="H52" s="172"/>
      <c r="I52" t="s" s="135">
        <f>IF(ISBLANK(C52),"",IF(L52="L","Baixa",IF(L52="A","Média",IF(L52="","","Alta"))))</f>
      </c>
      <c r="J52" t="s" s="136">
        <f>CONCATENATE(C52,L52)</f>
      </c>
      <c r="K52" t="s" s="136">
        <f>IF(ISBLANK(C52),"",IF(C52="ALI",IF(L52="L",7,IF(L52="A",10,15)),IF(C52="AIE",IF(L52="L",5,IF(L52="A",7,10)),IF(C52="SE",IF(L52="L",4,IF(L52="A",5,7)),IF(OR(C52="EE",C52="CE"),IF(L52="L",3,IF(L52="A",4,6)),0)))))</f>
      </c>
      <c r="L52" t="s" s="137">
        <f>IF(OR(ISBLANK(E52),ISBLANK(G52)),IF(OR(C52="ALI",C52="AIE"),"L",IF(OR(C52="EE",C52="SE",C52="CE"),"A","")),IF(C52="EE",IF(G52&gt;=3,IF(E52&gt;=5,"H","A"),IF(G52&gt;=2,IF(E52&gt;=16,"H",IF(E52&lt;=4,"L","A")),IF(E52&lt;=15,"L","A"))),IF(OR(C52="SE",C52="CE"),IF(G52&gt;=4,IF(E52&gt;=6,"H","A"),IF(G52&gt;=2,IF(E52&gt;=20,"H",IF(E52&lt;=5,"L","A")),IF(E52&lt;=19,"L","A"))),IF(OR(C52="ALI",C52="AIE"),IF(G52&gt;=6,IF(E52&gt;=20,"H","A"),IF(G52&gt;=2,IF(E52&gt;=51,"H",IF(E52&lt;=19,"L","A")),IF(E52&lt;=50,"L","A"))),""))))</f>
      </c>
      <c r="M52" t="s" s="136">
        <f>CONCATENATE(C52,D52)</f>
      </c>
      <c r="N52" t="s" s="136">
        <f>IF(OR(K52="",K52=0),O52,K52)</f>
      </c>
      <c r="O52" t="s" s="138">
        <f>_xlfn.IFERROR(IF(NOT(ISERROR(VLOOKUP(C52,'Deflatores Sisp'!G$42:H$70,2,FALSE))),VLOOKUP(C52,'Deflatores Sisp'!G$42:H$70,2,FALSE),IF(OR(ISBLANK(D52),ISBLANK(C52)),"",VLOOKUP(D52,'Deflatores Sisp'!G$4:H$38,2,FALSE)*K52+VLOOKUP(D52,'Deflatores Sisp'!G$4:I$38,3,FALSE)))*W52,"")</f>
      </c>
      <c r="P52" t="s" s="156">
        <v>80</v>
      </c>
      <c r="Q52" t="s" s="136">
        <v>80</v>
      </c>
      <c r="R52" t="s" s="136">
        <v>80</v>
      </c>
      <c r="S52" t="s" s="136">
        <v>80</v>
      </c>
      <c r="T52" s="149"/>
      <c r="U52" t="s" s="136">
        <v>80</v>
      </c>
      <c r="V52" s="141"/>
      <c r="W52" s="142">
        <f>IF(V52="",SUM(Z52:AE52),IF(C52="PA",E52,100%))</f>
        <v>0.95</v>
      </c>
      <c r="X52" s="143"/>
      <c r="Y52" s="144"/>
      <c r="Z52" s="145">
        <f>IF(P52="x",25%,0)</f>
        <v>0.25</v>
      </c>
      <c r="AA52" s="145">
        <f>IF(Q52="x",10%,0)</f>
        <v>0.1</v>
      </c>
      <c r="AB52" s="145">
        <f>IF(R52="x",40%,0)</f>
        <v>0.4</v>
      </c>
      <c r="AC52" s="145">
        <f>IF(S52="x",15%,0)</f>
        <v>0.15</v>
      </c>
      <c r="AD52" s="145">
        <f>IF(T52="x",5%,0)</f>
        <v>0</v>
      </c>
      <c r="AE52" s="145">
        <f>IF(U52="x",5%,0)</f>
        <v>0.05</v>
      </c>
    </row>
    <row r="53" s="90" customFormat="1" ht="33" customHeight="1">
      <c r="A53" s="133"/>
      <c r="C53" s="170"/>
      <c r="D53" s="132"/>
      <c r="E53" s="132"/>
      <c r="F53" s="171"/>
      <c r="G53" s="132"/>
      <c r="H53" s="172"/>
      <c r="I53" t="s" s="135">
        <f>IF(ISBLANK(C53),"",IF(L53="L","Baixa",IF(L53="A","Média",IF(L53="","","Alta"))))</f>
      </c>
      <c r="J53" t="s" s="136">
        <f>CONCATENATE(C53,L53)</f>
      </c>
      <c r="K53" t="s" s="136">
        <f>IF(ISBLANK(C53),"",IF(C53="ALI",IF(L53="L",7,IF(L53="A",10,15)),IF(C53="AIE",IF(L53="L",5,IF(L53="A",7,10)),IF(C53="SE",IF(L53="L",4,IF(L53="A",5,7)),IF(OR(C53="EE",C53="CE"),IF(L53="L",3,IF(L53="A",4,6)),0)))))</f>
      </c>
      <c r="L53" t="s" s="137">
        <f>IF(OR(ISBLANK(E53),ISBLANK(G53)),IF(OR(C53="ALI",C53="AIE"),"L",IF(OR(C53="EE",C53="SE",C53="CE"),"A","")),IF(C53="EE",IF(G53&gt;=3,IF(E53&gt;=5,"H","A"),IF(G53&gt;=2,IF(E53&gt;=16,"H",IF(E53&lt;=4,"L","A")),IF(E53&lt;=15,"L","A"))),IF(OR(C53="SE",C53="CE"),IF(G53&gt;=4,IF(E53&gt;=6,"H","A"),IF(G53&gt;=2,IF(E53&gt;=20,"H",IF(E53&lt;=5,"L","A")),IF(E53&lt;=19,"L","A"))),IF(OR(C53="ALI",C53="AIE"),IF(G53&gt;=6,IF(E53&gt;=20,"H","A"),IF(G53&gt;=2,IF(E53&gt;=51,"H",IF(E53&lt;=19,"L","A")),IF(E53&lt;=50,"L","A"))),""))))</f>
      </c>
      <c r="M53" t="s" s="136">
        <f>CONCATENATE(C53,D53)</f>
      </c>
      <c r="N53" t="s" s="136">
        <f>IF(OR(K53="",K53=0),O53,K53)</f>
      </c>
      <c r="O53" t="s" s="138">
        <f>_xlfn.IFERROR(IF(NOT(ISERROR(VLOOKUP(C53,'Deflatores Sisp'!G$42:H$70,2,FALSE))),VLOOKUP(C53,'Deflatores Sisp'!G$42:H$70,2,FALSE),IF(OR(ISBLANK(D53),ISBLANK(C53)),"",VLOOKUP(D53,'Deflatores Sisp'!G$4:H$38,2,FALSE)*K53+VLOOKUP(D53,'Deflatores Sisp'!G$4:I$38,3,FALSE)))*W53,"")</f>
      </c>
      <c r="P53" t="s" s="156">
        <v>80</v>
      </c>
      <c r="Q53" t="s" s="136">
        <v>80</v>
      </c>
      <c r="R53" t="s" s="136">
        <v>80</v>
      </c>
      <c r="S53" t="s" s="136">
        <v>80</v>
      </c>
      <c r="T53" s="149"/>
      <c r="U53" t="s" s="136">
        <v>80</v>
      </c>
      <c r="V53" s="141"/>
      <c r="W53" s="142">
        <f>IF(V53="",SUM(Z53:AE53),IF(C53="PA",E53,100%))</f>
        <v>0.95</v>
      </c>
      <c r="X53" s="143"/>
      <c r="Y53" s="144"/>
      <c r="Z53" s="145">
        <f>IF(P53="x",25%,0)</f>
        <v>0.25</v>
      </c>
      <c r="AA53" s="145">
        <f>IF(Q53="x",10%,0)</f>
        <v>0.1</v>
      </c>
      <c r="AB53" s="145">
        <f>IF(R53="x",40%,0)</f>
        <v>0.4</v>
      </c>
      <c r="AC53" s="145">
        <f>IF(S53="x",15%,0)</f>
        <v>0.15</v>
      </c>
      <c r="AD53" s="145">
        <f>IF(T53="x",5%,0)</f>
        <v>0</v>
      </c>
      <c r="AE53" s="145">
        <f>IF(U53="x",5%,0)</f>
        <v>0.05</v>
      </c>
    </row>
    <row r="54" s="90" customFormat="1" ht="33" customHeight="1">
      <c r="A54" s="133"/>
      <c r="C54" s="170"/>
      <c r="D54" s="132"/>
      <c r="E54" s="132"/>
      <c r="F54" s="171"/>
      <c r="G54" s="132"/>
      <c r="H54" s="172"/>
      <c r="I54" t="s" s="135">
        <f>IF(ISBLANK(C54),"",IF(L54="L","Baixa",IF(L54="A","Média",IF(L54="","","Alta"))))</f>
      </c>
      <c r="J54" t="s" s="136">
        <f>CONCATENATE(C54,L54)</f>
      </c>
      <c r="K54" t="s" s="136">
        <f>IF(ISBLANK(C54),"",IF(C54="ALI",IF(L54="L",7,IF(L54="A",10,15)),IF(C54="AIE",IF(L54="L",5,IF(L54="A",7,10)),IF(C54="SE",IF(L54="L",4,IF(L54="A",5,7)),IF(OR(C54="EE",C54="CE"),IF(L54="L",3,IF(L54="A",4,6)),0)))))</f>
      </c>
      <c r="L54" t="s" s="137">
        <f>IF(OR(ISBLANK(E54),ISBLANK(G54)),IF(OR(C54="ALI",C54="AIE"),"L",IF(OR(C54="EE",C54="SE",C54="CE"),"A","")),IF(C54="EE",IF(G54&gt;=3,IF(E54&gt;=5,"H","A"),IF(G54&gt;=2,IF(E54&gt;=16,"H",IF(E54&lt;=4,"L","A")),IF(E54&lt;=15,"L","A"))),IF(OR(C54="SE",C54="CE"),IF(G54&gt;=4,IF(E54&gt;=6,"H","A"),IF(G54&gt;=2,IF(E54&gt;=20,"H",IF(E54&lt;=5,"L","A")),IF(E54&lt;=19,"L","A"))),IF(OR(C54="ALI",C54="AIE"),IF(G54&gt;=6,IF(E54&gt;=20,"H","A"),IF(G54&gt;=2,IF(E54&gt;=51,"H",IF(E54&lt;=19,"L","A")),IF(E54&lt;=50,"L","A"))),""))))</f>
      </c>
      <c r="M54" t="s" s="136">
        <f>CONCATENATE(C54,D54)</f>
      </c>
      <c r="N54" t="s" s="136">
        <f>IF(OR(K54="",K54=0),O54,K54)</f>
      </c>
      <c r="O54" t="s" s="138">
        <f>_xlfn.IFERROR(IF(NOT(ISERROR(VLOOKUP(C54,'Deflatores Sisp'!G$42:H$70,2,FALSE))),VLOOKUP(C54,'Deflatores Sisp'!G$42:H$70,2,FALSE),IF(OR(ISBLANK(D54),ISBLANK(C54)),"",VLOOKUP(D54,'Deflatores Sisp'!G$4:H$38,2,FALSE)*K54+VLOOKUP(D54,'Deflatores Sisp'!G$4:I$38,3,FALSE)))*W54,"")</f>
      </c>
      <c r="P54" t="s" s="156">
        <v>80</v>
      </c>
      <c r="Q54" t="s" s="136">
        <v>80</v>
      </c>
      <c r="R54" t="s" s="136">
        <v>80</v>
      </c>
      <c r="S54" t="s" s="136">
        <v>80</v>
      </c>
      <c r="T54" s="149"/>
      <c r="U54" t="s" s="136">
        <v>80</v>
      </c>
      <c r="V54" s="141"/>
      <c r="W54" s="142">
        <f>IF(V54="",SUM(Z54:AE54),IF(C54="PA",E54,100%))</f>
        <v>0.95</v>
      </c>
      <c r="X54" s="143"/>
      <c r="Y54" s="144"/>
      <c r="Z54" s="145">
        <f>IF(P54="x",25%,0)</f>
        <v>0.25</v>
      </c>
      <c r="AA54" s="145">
        <f>IF(Q54="x",10%,0)</f>
        <v>0.1</v>
      </c>
      <c r="AB54" s="145">
        <f>IF(R54="x",40%,0)</f>
        <v>0.4</v>
      </c>
      <c r="AC54" s="145">
        <f>IF(S54="x",15%,0)</f>
        <v>0.15</v>
      </c>
      <c r="AD54" s="145">
        <f>IF(T54="x",5%,0)</f>
        <v>0</v>
      </c>
      <c r="AE54" s="145">
        <f>IF(U54="x",5%,0)</f>
        <v>0.05</v>
      </c>
    </row>
    <row r="55" s="90" customFormat="1" ht="33" customHeight="1">
      <c r="A55" s="133"/>
      <c r="C55" s="170"/>
      <c r="D55" s="132"/>
      <c r="E55" s="132"/>
      <c r="F55" s="171"/>
      <c r="G55" s="132"/>
      <c r="H55" s="172"/>
      <c r="I55" t="s" s="135">
        <f>IF(ISBLANK(C55),"",IF(L55="L","Baixa",IF(L55="A","Média",IF(L55="","","Alta"))))</f>
      </c>
      <c r="J55" t="s" s="136">
        <f>CONCATENATE(C55,L55)</f>
      </c>
      <c r="K55" t="s" s="136">
        <f>IF(ISBLANK(C55),"",IF(C55="ALI",IF(L55="L",7,IF(L55="A",10,15)),IF(C55="AIE",IF(L55="L",5,IF(L55="A",7,10)),IF(C55="SE",IF(L55="L",4,IF(L55="A",5,7)),IF(OR(C55="EE",C55="CE"),IF(L55="L",3,IF(L55="A",4,6)),0)))))</f>
      </c>
      <c r="L55" t="s" s="137">
        <f>IF(OR(ISBLANK(E55),ISBLANK(G55)),IF(OR(C55="ALI",C55="AIE"),"L",IF(OR(C55="EE",C55="SE",C55="CE"),"A","")),IF(C55="EE",IF(G55&gt;=3,IF(E55&gt;=5,"H","A"),IF(G55&gt;=2,IF(E55&gt;=16,"H",IF(E55&lt;=4,"L","A")),IF(E55&lt;=15,"L","A"))),IF(OR(C55="SE",C55="CE"),IF(G55&gt;=4,IF(E55&gt;=6,"H","A"),IF(G55&gt;=2,IF(E55&gt;=20,"H",IF(E55&lt;=5,"L","A")),IF(E55&lt;=19,"L","A"))),IF(OR(C55="ALI",C55="AIE"),IF(G55&gt;=6,IF(E55&gt;=20,"H","A"),IF(G55&gt;=2,IF(E55&gt;=51,"H",IF(E55&lt;=19,"L","A")),IF(E55&lt;=50,"L","A"))),""))))</f>
      </c>
      <c r="M55" t="s" s="136">
        <f>CONCATENATE(C55,D55)</f>
      </c>
      <c r="N55" t="s" s="136">
        <f>IF(OR(K55="",K55=0),O55,K55)</f>
      </c>
      <c r="O55" t="s" s="138">
        <f>_xlfn.IFERROR(IF(NOT(ISERROR(VLOOKUP(C55,'Deflatores Sisp'!G$42:H$70,2,FALSE))),VLOOKUP(C55,'Deflatores Sisp'!G$42:H$70,2,FALSE),IF(OR(ISBLANK(D55),ISBLANK(C55)),"",VLOOKUP(D55,'Deflatores Sisp'!G$4:H$38,2,FALSE)*K55+VLOOKUP(D55,'Deflatores Sisp'!G$4:I$38,3,FALSE)))*W55,"")</f>
      </c>
      <c r="P55" t="s" s="156">
        <v>80</v>
      </c>
      <c r="Q55" t="s" s="136">
        <v>80</v>
      </c>
      <c r="R55" t="s" s="136">
        <v>80</v>
      </c>
      <c r="S55" t="s" s="136">
        <v>80</v>
      </c>
      <c r="T55" s="149"/>
      <c r="U55" t="s" s="136">
        <v>80</v>
      </c>
      <c r="V55" s="141"/>
      <c r="W55" s="142">
        <f>IF(V55="",SUM(Z55:AE55),IF(C55="PA",E55,100%))</f>
        <v>0.95</v>
      </c>
      <c r="X55" s="143"/>
      <c r="Y55" s="144"/>
      <c r="Z55" s="145">
        <f>IF(P55="x",25%,0)</f>
        <v>0.25</v>
      </c>
      <c r="AA55" s="145">
        <f>IF(Q55="x",10%,0)</f>
        <v>0.1</v>
      </c>
      <c r="AB55" s="145">
        <f>IF(R55="x",40%,0)</f>
        <v>0.4</v>
      </c>
      <c r="AC55" s="145">
        <f>IF(S55="x",15%,0)</f>
        <v>0.15</v>
      </c>
      <c r="AD55" s="145">
        <f>IF(T55="x",5%,0)</f>
        <v>0</v>
      </c>
      <c r="AE55" s="145">
        <f>IF(U55="x",5%,0)</f>
        <v>0.05</v>
      </c>
    </row>
    <row r="56" s="90" customFormat="1" ht="33" customHeight="1">
      <c r="A56" s="133"/>
      <c r="C56" s="170"/>
      <c r="D56" s="132"/>
      <c r="E56" s="132"/>
      <c r="F56" s="171"/>
      <c r="G56" s="132"/>
      <c r="H56" s="172"/>
      <c r="I56" t="s" s="135">
        <f>IF(ISBLANK(C56),"",IF(L56="L","Baixa",IF(L56="A","Média",IF(L56="","","Alta"))))</f>
      </c>
      <c r="J56" t="s" s="136">
        <f>CONCATENATE(C56,L56)</f>
      </c>
      <c r="K56" t="s" s="136">
        <f>IF(ISBLANK(C56),"",IF(C56="ALI",IF(L56="L",7,IF(L56="A",10,15)),IF(C56="AIE",IF(L56="L",5,IF(L56="A",7,10)),IF(C56="SE",IF(L56="L",4,IF(L56="A",5,7)),IF(OR(C56="EE",C56="CE"),IF(L56="L",3,IF(L56="A",4,6)),0)))))</f>
      </c>
      <c r="L56" t="s" s="137">
        <f>IF(OR(ISBLANK(E56),ISBLANK(G56)),IF(OR(C56="ALI",C56="AIE"),"L",IF(OR(C56="EE",C56="SE",C56="CE"),"A","")),IF(C56="EE",IF(G56&gt;=3,IF(E56&gt;=5,"H","A"),IF(G56&gt;=2,IF(E56&gt;=16,"H",IF(E56&lt;=4,"L","A")),IF(E56&lt;=15,"L","A"))),IF(OR(C56="SE",C56="CE"),IF(G56&gt;=4,IF(E56&gt;=6,"H","A"),IF(G56&gt;=2,IF(E56&gt;=20,"H",IF(E56&lt;=5,"L","A")),IF(E56&lt;=19,"L","A"))),IF(OR(C56="ALI",C56="AIE"),IF(G56&gt;=6,IF(E56&gt;=20,"H","A"),IF(G56&gt;=2,IF(E56&gt;=51,"H",IF(E56&lt;=19,"L","A")),IF(E56&lt;=50,"L","A"))),""))))</f>
      </c>
      <c r="M56" t="s" s="136">
        <f>CONCATENATE(C56,D56)</f>
      </c>
      <c r="N56" t="s" s="136">
        <f>IF(OR(K56="",K56=0),O56,K56)</f>
      </c>
      <c r="O56" t="s" s="138">
        <f>_xlfn.IFERROR(IF(NOT(ISERROR(VLOOKUP(C56,'Deflatores Sisp'!G$42:H$70,2,FALSE))),VLOOKUP(C56,'Deflatores Sisp'!G$42:H$70,2,FALSE),IF(OR(ISBLANK(D56),ISBLANK(C56)),"",VLOOKUP(D56,'Deflatores Sisp'!G$4:H$38,2,FALSE)*K56+VLOOKUP(D56,'Deflatores Sisp'!G$4:I$38,3,FALSE)))*W56,"")</f>
      </c>
      <c r="P56" t="s" s="156">
        <v>80</v>
      </c>
      <c r="Q56" t="s" s="136">
        <v>80</v>
      </c>
      <c r="R56" t="s" s="136">
        <v>80</v>
      </c>
      <c r="S56" t="s" s="136">
        <v>80</v>
      </c>
      <c r="T56" s="149"/>
      <c r="U56" t="s" s="136">
        <v>80</v>
      </c>
      <c r="V56" s="141"/>
      <c r="W56" s="142">
        <f>IF(V56="",SUM(Z56:AE56),IF(C56="PA",E56,100%))</f>
        <v>0.95</v>
      </c>
      <c r="X56" s="143"/>
      <c r="Y56" s="144"/>
      <c r="Z56" s="145">
        <f>IF(P56="x",25%,0)</f>
        <v>0.25</v>
      </c>
      <c r="AA56" s="145">
        <f>IF(Q56="x",10%,0)</f>
        <v>0.1</v>
      </c>
      <c r="AB56" s="145">
        <f>IF(R56="x",40%,0)</f>
        <v>0.4</v>
      </c>
      <c r="AC56" s="145">
        <f>IF(S56="x",15%,0)</f>
        <v>0.15</v>
      </c>
      <c r="AD56" s="145">
        <f>IF(T56="x",5%,0)</f>
        <v>0</v>
      </c>
      <c r="AE56" s="145">
        <f>IF(U56="x",5%,0)</f>
        <v>0.05</v>
      </c>
    </row>
    <row r="57" s="90" customFormat="1" ht="33" customHeight="1">
      <c r="A57" s="133"/>
      <c r="C57" s="170"/>
      <c r="D57" s="132"/>
      <c r="E57" s="132"/>
      <c r="F57" s="171"/>
      <c r="G57" s="132"/>
      <c r="H57" s="172"/>
      <c r="I57" t="s" s="135">
        <f>IF(ISBLANK(C57),"",IF(L57="L","Baixa",IF(L57="A","Média",IF(L57="","","Alta"))))</f>
      </c>
      <c r="J57" t="s" s="136">
        <f>CONCATENATE(C57,L57)</f>
      </c>
      <c r="K57" t="s" s="136">
        <f>IF(ISBLANK(C57),"",IF(C57="ALI",IF(L57="L",7,IF(L57="A",10,15)),IF(C57="AIE",IF(L57="L",5,IF(L57="A",7,10)),IF(C57="SE",IF(L57="L",4,IF(L57="A",5,7)),IF(OR(C57="EE",C57="CE"),IF(L57="L",3,IF(L57="A",4,6)),0)))))</f>
      </c>
      <c r="L57" t="s" s="137">
        <f>IF(OR(ISBLANK(E57),ISBLANK(G57)),IF(OR(C57="ALI",C57="AIE"),"L",IF(OR(C57="EE",C57="SE",C57="CE"),"A","")),IF(C57="EE",IF(G57&gt;=3,IF(E57&gt;=5,"H","A"),IF(G57&gt;=2,IF(E57&gt;=16,"H",IF(E57&lt;=4,"L","A")),IF(E57&lt;=15,"L","A"))),IF(OR(C57="SE",C57="CE"),IF(G57&gt;=4,IF(E57&gt;=6,"H","A"),IF(G57&gt;=2,IF(E57&gt;=20,"H",IF(E57&lt;=5,"L","A")),IF(E57&lt;=19,"L","A"))),IF(OR(C57="ALI",C57="AIE"),IF(G57&gt;=6,IF(E57&gt;=20,"H","A"),IF(G57&gt;=2,IF(E57&gt;=51,"H",IF(E57&lt;=19,"L","A")),IF(E57&lt;=50,"L","A"))),""))))</f>
      </c>
      <c r="M57" t="s" s="136">
        <f>CONCATENATE(C57,D57)</f>
      </c>
      <c r="N57" t="s" s="136">
        <f>IF(OR(K57="",K57=0),O57,K57)</f>
      </c>
      <c r="O57" t="s" s="138">
        <f>_xlfn.IFERROR(IF(NOT(ISERROR(VLOOKUP(C57,'Deflatores Sisp'!G$42:H$70,2,FALSE))),VLOOKUP(C57,'Deflatores Sisp'!G$42:H$70,2,FALSE),IF(OR(ISBLANK(D57),ISBLANK(C57)),"",VLOOKUP(D57,'Deflatores Sisp'!G$4:H$38,2,FALSE)*K57+VLOOKUP(D57,'Deflatores Sisp'!G$4:I$38,3,FALSE)))*W57,"")</f>
      </c>
      <c r="P57" t="s" s="156">
        <v>80</v>
      </c>
      <c r="Q57" t="s" s="136">
        <v>80</v>
      </c>
      <c r="R57" t="s" s="136">
        <v>80</v>
      </c>
      <c r="S57" t="s" s="136">
        <v>80</v>
      </c>
      <c r="T57" s="149"/>
      <c r="U57" t="s" s="136">
        <v>80</v>
      </c>
      <c r="V57" s="141"/>
      <c r="W57" s="142">
        <f>IF(V57="",SUM(Z57:AE57),IF(C57="PA",E57,100%))</f>
        <v>0.95</v>
      </c>
      <c r="X57" s="143"/>
      <c r="Y57" s="144"/>
      <c r="Z57" s="145">
        <f>IF(P57="x",25%,0)</f>
        <v>0.25</v>
      </c>
      <c r="AA57" s="145">
        <f>IF(Q57="x",10%,0)</f>
        <v>0.1</v>
      </c>
      <c r="AB57" s="145">
        <f>IF(R57="x",40%,0)</f>
        <v>0.4</v>
      </c>
      <c r="AC57" s="145">
        <f>IF(S57="x",15%,0)</f>
        <v>0.15</v>
      </c>
      <c r="AD57" s="145">
        <f>IF(T57="x",5%,0)</f>
        <v>0</v>
      </c>
      <c r="AE57" s="145">
        <f>IF(U57="x",5%,0)</f>
        <v>0.05</v>
      </c>
    </row>
    <row r="58" s="90" customFormat="1" ht="33" customHeight="1">
      <c r="A58" s="133"/>
      <c r="C58" s="170"/>
      <c r="D58" s="132"/>
      <c r="E58" s="132"/>
      <c r="F58" s="171"/>
      <c r="G58" s="132"/>
      <c r="H58" s="172"/>
      <c r="I58" t="s" s="135">
        <f>IF(ISBLANK(C58),"",IF(L58="L","Baixa",IF(L58="A","Média",IF(L58="","","Alta"))))</f>
      </c>
      <c r="J58" t="s" s="136">
        <f>CONCATENATE(C58,L58)</f>
      </c>
      <c r="K58" t="s" s="136">
        <f>IF(ISBLANK(C58),"",IF(C58="ALI",IF(L58="L",7,IF(L58="A",10,15)),IF(C58="AIE",IF(L58="L",5,IF(L58="A",7,10)),IF(C58="SE",IF(L58="L",4,IF(L58="A",5,7)),IF(OR(C58="EE",C58="CE"),IF(L58="L",3,IF(L58="A",4,6)),0)))))</f>
      </c>
      <c r="L58" t="s" s="137">
        <f>IF(OR(ISBLANK(E58),ISBLANK(G58)),IF(OR(C58="ALI",C58="AIE"),"L",IF(OR(C58="EE",C58="SE",C58="CE"),"A","")),IF(C58="EE",IF(G58&gt;=3,IF(E58&gt;=5,"H","A"),IF(G58&gt;=2,IF(E58&gt;=16,"H",IF(E58&lt;=4,"L","A")),IF(E58&lt;=15,"L","A"))),IF(OR(C58="SE",C58="CE"),IF(G58&gt;=4,IF(E58&gt;=6,"H","A"),IF(G58&gt;=2,IF(E58&gt;=20,"H",IF(E58&lt;=5,"L","A")),IF(E58&lt;=19,"L","A"))),IF(OR(C58="ALI",C58="AIE"),IF(G58&gt;=6,IF(E58&gt;=20,"H","A"),IF(G58&gt;=2,IF(E58&gt;=51,"H",IF(E58&lt;=19,"L","A")),IF(E58&lt;=50,"L","A"))),""))))</f>
      </c>
      <c r="M58" t="s" s="136">
        <f>CONCATENATE(C58,D58)</f>
      </c>
      <c r="N58" t="s" s="136">
        <f>IF(OR(K58="",K58=0),O58,K58)</f>
      </c>
      <c r="O58" t="s" s="138">
        <f>_xlfn.IFERROR(IF(NOT(ISERROR(VLOOKUP(C58,'Deflatores Sisp'!G$42:H$70,2,FALSE))),VLOOKUP(C58,'Deflatores Sisp'!G$42:H$70,2,FALSE),IF(OR(ISBLANK(D58),ISBLANK(C58)),"",VLOOKUP(D58,'Deflatores Sisp'!G$4:H$38,2,FALSE)*K58+VLOOKUP(D58,'Deflatores Sisp'!G$4:I$38,3,FALSE)))*W58,"")</f>
      </c>
      <c r="P58" t="s" s="156">
        <v>80</v>
      </c>
      <c r="Q58" t="s" s="136">
        <v>80</v>
      </c>
      <c r="R58" t="s" s="136">
        <v>80</v>
      </c>
      <c r="S58" t="s" s="136">
        <v>80</v>
      </c>
      <c r="T58" s="149"/>
      <c r="U58" t="s" s="136">
        <v>80</v>
      </c>
      <c r="V58" s="141"/>
      <c r="W58" s="142">
        <f>IF(V58="",SUM(Z58:AE58),IF(C58="PA",E58,100%))</f>
        <v>0.95</v>
      </c>
      <c r="X58" s="143"/>
      <c r="Y58" s="144"/>
      <c r="Z58" s="145">
        <f>IF(P58="x",25%,0)</f>
        <v>0.25</v>
      </c>
      <c r="AA58" s="145">
        <f>IF(Q58="x",10%,0)</f>
        <v>0.1</v>
      </c>
      <c r="AB58" s="145">
        <f>IF(R58="x",40%,0)</f>
        <v>0.4</v>
      </c>
      <c r="AC58" s="145">
        <f>IF(S58="x",15%,0)</f>
        <v>0.15</v>
      </c>
      <c r="AD58" s="145">
        <f>IF(T58="x",5%,0)</f>
        <v>0</v>
      </c>
      <c r="AE58" s="145">
        <f>IF(U58="x",5%,0)</f>
        <v>0.05</v>
      </c>
    </row>
    <row r="59" s="90" customFormat="1" ht="33" customHeight="1">
      <c r="A59" s="133"/>
      <c r="C59" s="170"/>
      <c r="D59" s="132"/>
      <c r="E59" s="132"/>
      <c r="F59" s="171"/>
      <c r="G59" s="132"/>
      <c r="H59" s="172"/>
      <c r="I59" t="s" s="135">
        <f>IF(ISBLANK(C59),"",IF(L59="L","Baixa",IF(L59="A","Média",IF(L59="","","Alta"))))</f>
      </c>
      <c r="J59" t="s" s="136">
        <f>CONCATENATE(C59,L59)</f>
      </c>
      <c r="K59" t="s" s="136">
        <f>IF(ISBLANK(C59),"",IF(C59="ALI",IF(L59="L",7,IF(L59="A",10,15)),IF(C59="AIE",IF(L59="L",5,IF(L59="A",7,10)),IF(C59="SE",IF(L59="L",4,IF(L59="A",5,7)),IF(OR(C59="EE",C59="CE"),IF(L59="L",3,IF(L59="A",4,6)),0)))))</f>
      </c>
      <c r="L59" t="s" s="137">
        <f>IF(OR(ISBLANK(E59),ISBLANK(G59)),IF(OR(C59="ALI",C59="AIE"),"L",IF(OR(C59="EE",C59="SE",C59="CE"),"A","")),IF(C59="EE",IF(G59&gt;=3,IF(E59&gt;=5,"H","A"),IF(G59&gt;=2,IF(E59&gt;=16,"H",IF(E59&lt;=4,"L","A")),IF(E59&lt;=15,"L","A"))),IF(OR(C59="SE",C59="CE"),IF(G59&gt;=4,IF(E59&gt;=6,"H","A"),IF(G59&gt;=2,IF(E59&gt;=20,"H",IF(E59&lt;=5,"L","A")),IF(E59&lt;=19,"L","A"))),IF(OR(C59="ALI",C59="AIE"),IF(G59&gt;=6,IF(E59&gt;=20,"H","A"),IF(G59&gt;=2,IF(E59&gt;=51,"H",IF(E59&lt;=19,"L","A")),IF(E59&lt;=50,"L","A"))),""))))</f>
      </c>
      <c r="M59" t="s" s="136">
        <f>CONCATENATE(C59,D59)</f>
      </c>
      <c r="N59" t="s" s="136">
        <f>IF(OR(K59="",K59=0),O59,K59)</f>
      </c>
      <c r="O59" t="s" s="138">
        <f>_xlfn.IFERROR(IF(NOT(ISERROR(VLOOKUP(C59,'Deflatores Sisp'!G$42:H$70,2,FALSE))),VLOOKUP(C59,'Deflatores Sisp'!G$42:H$70,2,FALSE),IF(OR(ISBLANK(D59),ISBLANK(C59)),"",VLOOKUP(D59,'Deflatores Sisp'!G$4:H$38,2,FALSE)*K59+VLOOKUP(D59,'Deflatores Sisp'!G$4:I$38,3,FALSE)))*W59,"")</f>
      </c>
      <c r="P59" t="s" s="156">
        <v>80</v>
      </c>
      <c r="Q59" t="s" s="136">
        <v>80</v>
      </c>
      <c r="R59" t="s" s="136">
        <v>80</v>
      </c>
      <c r="S59" t="s" s="136">
        <v>80</v>
      </c>
      <c r="T59" s="149"/>
      <c r="U59" t="s" s="136">
        <v>80</v>
      </c>
      <c r="V59" s="141"/>
      <c r="W59" s="142">
        <f>IF(V59="",SUM(Z59:AE59),IF(C59="PA",E59,100%))</f>
        <v>0.95</v>
      </c>
      <c r="X59" s="143"/>
      <c r="Y59" s="144"/>
      <c r="Z59" s="145">
        <f>IF(P59="x",25%,0)</f>
        <v>0.25</v>
      </c>
      <c r="AA59" s="145">
        <f>IF(Q59="x",10%,0)</f>
        <v>0.1</v>
      </c>
      <c r="AB59" s="145">
        <f>IF(R59="x",40%,0)</f>
        <v>0.4</v>
      </c>
      <c r="AC59" s="145">
        <f>IF(S59="x",15%,0)</f>
        <v>0.15</v>
      </c>
      <c r="AD59" s="145">
        <f>IF(T59="x",5%,0)</f>
        <v>0</v>
      </c>
      <c r="AE59" s="145">
        <f>IF(U59="x",5%,0)</f>
        <v>0.05</v>
      </c>
    </row>
    <row r="60" s="90" customFormat="1" ht="33" customHeight="1">
      <c r="A60" s="133"/>
      <c r="C60" s="170"/>
      <c r="D60" s="132"/>
      <c r="E60" s="132"/>
      <c r="F60" s="171"/>
      <c r="G60" s="132"/>
      <c r="H60" s="172"/>
      <c r="I60" t="s" s="135">
        <f>IF(ISBLANK(C60),"",IF(L60="L","Baixa",IF(L60="A","Média",IF(L60="","","Alta"))))</f>
      </c>
      <c r="J60" t="s" s="136">
        <f>CONCATENATE(C60,L60)</f>
      </c>
      <c r="K60" t="s" s="136">
        <f>IF(ISBLANK(C60),"",IF(C60="ALI",IF(L60="L",7,IF(L60="A",10,15)),IF(C60="AIE",IF(L60="L",5,IF(L60="A",7,10)),IF(C60="SE",IF(L60="L",4,IF(L60="A",5,7)),IF(OR(C60="EE",C60="CE"),IF(L60="L",3,IF(L60="A",4,6)),0)))))</f>
      </c>
      <c r="L60" t="s" s="137">
        <f>IF(OR(ISBLANK(E60),ISBLANK(G60)),IF(OR(C60="ALI",C60="AIE"),"L",IF(OR(C60="EE",C60="SE",C60="CE"),"A","")),IF(C60="EE",IF(G60&gt;=3,IF(E60&gt;=5,"H","A"),IF(G60&gt;=2,IF(E60&gt;=16,"H",IF(E60&lt;=4,"L","A")),IF(E60&lt;=15,"L","A"))),IF(OR(C60="SE",C60="CE"),IF(G60&gt;=4,IF(E60&gt;=6,"H","A"),IF(G60&gt;=2,IF(E60&gt;=20,"H",IF(E60&lt;=5,"L","A")),IF(E60&lt;=19,"L","A"))),IF(OR(C60="ALI",C60="AIE"),IF(G60&gt;=6,IF(E60&gt;=20,"H","A"),IF(G60&gt;=2,IF(E60&gt;=51,"H",IF(E60&lt;=19,"L","A")),IF(E60&lt;=50,"L","A"))),""))))</f>
      </c>
      <c r="M60" t="s" s="136">
        <f>CONCATENATE(C60,D60)</f>
      </c>
      <c r="N60" t="s" s="136">
        <f>IF(OR(K60="",K60=0),O60,K60)</f>
      </c>
      <c r="O60" t="s" s="138">
        <f>_xlfn.IFERROR(IF(NOT(ISERROR(VLOOKUP(C60,'Deflatores Sisp'!G$42:H$70,2,FALSE))),VLOOKUP(C60,'Deflatores Sisp'!G$42:H$70,2,FALSE),IF(OR(ISBLANK(D60),ISBLANK(C60)),"",VLOOKUP(D60,'Deflatores Sisp'!G$4:H$38,2,FALSE)*K60+VLOOKUP(D60,'Deflatores Sisp'!G$4:I$38,3,FALSE)))*W60,"")</f>
      </c>
      <c r="P60" t="s" s="156">
        <v>80</v>
      </c>
      <c r="Q60" t="s" s="136">
        <v>80</v>
      </c>
      <c r="R60" t="s" s="136">
        <v>80</v>
      </c>
      <c r="S60" t="s" s="136">
        <v>80</v>
      </c>
      <c r="T60" s="149"/>
      <c r="U60" t="s" s="136">
        <v>80</v>
      </c>
      <c r="V60" s="141"/>
      <c r="W60" s="142">
        <f>IF(V60="",SUM(Z60:AE60),IF(C60="PA",E60,100%))</f>
        <v>0.95</v>
      </c>
      <c r="X60" s="143"/>
      <c r="Y60" s="144"/>
      <c r="Z60" s="145">
        <f>IF(P60="x",25%,0)</f>
        <v>0.25</v>
      </c>
      <c r="AA60" s="145">
        <f>IF(Q60="x",10%,0)</f>
        <v>0.1</v>
      </c>
      <c r="AB60" s="145">
        <f>IF(R60="x",40%,0)</f>
        <v>0.4</v>
      </c>
      <c r="AC60" s="145">
        <f>IF(S60="x",15%,0)</f>
        <v>0.15</v>
      </c>
      <c r="AD60" s="145">
        <f>IF(T60="x",5%,0)</f>
        <v>0</v>
      </c>
      <c r="AE60" s="145">
        <f>IF(U60="x",5%,0)</f>
        <v>0.05</v>
      </c>
    </row>
    <row r="61" s="90" customFormat="1" ht="33" customHeight="1">
      <c r="A61" s="133"/>
      <c r="C61" s="170"/>
      <c r="D61" s="132"/>
      <c r="E61" s="132"/>
      <c r="F61" s="171"/>
      <c r="G61" s="132"/>
      <c r="H61" s="172"/>
      <c r="I61" t="s" s="135">
        <f>IF(ISBLANK(C61),"",IF(L61="L","Baixa",IF(L61="A","Média",IF(L61="","","Alta"))))</f>
      </c>
      <c r="J61" t="s" s="136">
        <f>CONCATENATE(C61,L61)</f>
      </c>
      <c r="K61" t="s" s="136">
        <f>IF(ISBLANK(C61),"",IF(C61="ALI",IF(L61="L",7,IF(L61="A",10,15)),IF(C61="AIE",IF(L61="L",5,IF(L61="A",7,10)),IF(C61="SE",IF(L61="L",4,IF(L61="A",5,7)),IF(OR(C61="EE",C61="CE"),IF(L61="L",3,IF(L61="A",4,6)),0)))))</f>
      </c>
      <c r="L61" t="s" s="137">
        <f>IF(OR(ISBLANK(E61),ISBLANK(G61)),IF(OR(C61="ALI",C61="AIE"),"L",IF(OR(C61="EE",C61="SE",C61="CE"),"A","")),IF(C61="EE",IF(G61&gt;=3,IF(E61&gt;=5,"H","A"),IF(G61&gt;=2,IF(E61&gt;=16,"H",IF(E61&lt;=4,"L","A")),IF(E61&lt;=15,"L","A"))),IF(OR(C61="SE",C61="CE"),IF(G61&gt;=4,IF(E61&gt;=6,"H","A"),IF(G61&gt;=2,IF(E61&gt;=20,"H",IF(E61&lt;=5,"L","A")),IF(E61&lt;=19,"L","A"))),IF(OR(C61="ALI",C61="AIE"),IF(G61&gt;=6,IF(E61&gt;=20,"H","A"),IF(G61&gt;=2,IF(E61&gt;=51,"H",IF(E61&lt;=19,"L","A")),IF(E61&lt;=50,"L","A"))),""))))</f>
      </c>
      <c r="M61" t="s" s="136">
        <f>CONCATENATE(C61,D61)</f>
      </c>
      <c r="N61" t="s" s="136">
        <f>IF(OR(K61="",K61=0),O61,K61)</f>
      </c>
      <c r="O61" t="s" s="138">
        <f>_xlfn.IFERROR(IF(NOT(ISERROR(VLOOKUP(C61,'Deflatores Sisp'!G$42:H$70,2,FALSE))),VLOOKUP(C61,'Deflatores Sisp'!G$42:H$70,2,FALSE),IF(OR(ISBLANK(D61),ISBLANK(C61)),"",VLOOKUP(D61,'Deflatores Sisp'!G$4:H$38,2,FALSE)*K61+VLOOKUP(D61,'Deflatores Sisp'!G$4:I$38,3,FALSE)))*W61,"")</f>
      </c>
      <c r="P61" t="s" s="156">
        <v>80</v>
      </c>
      <c r="Q61" t="s" s="136">
        <v>80</v>
      </c>
      <c r="R61" t="s" s="136">
        <v>80</v>
      </c>
      <c r="S61" t="s" s="136">
        <v>80</v>
      </c>
      <c r="T61" s="149"/>
      <c r="U61" t="s" s="136">
        <v>80</v>
      </c>
      <c r="V61" s="141"/>
      <c r="W61" s="142">
        <f>IF(V61="",SUM(Z61:AE61),IF(C61="PA",E61,100%))</f>
        <v>0.95</v>
      </c>
      <c r="X61" s="143"/>
      <c r="Y61" s="144"/>
      <c r="Z61" s="145">
        <f>IF(P61="x",25%,0)</f>
        <v>0.25</v>
      </c>
      <c r="AA61" s="145">
        <f>IF(Q61="x",10%,0)</f>
        <v>0.1</v>
      </c>
      <c r="AB61" s="145">
        <f>IF(R61="x",40%,0)</f>
        <v>0.4</v>
      </c>
      <c r="AC61" s="145">
        <f>IF(S61="x",15%,0)</f>
        <v>0.15</v>
      </c>
      <c r="AD61" s="145">
        <f>IF(T61="x",5%,0)</f>
        <v>0</v>
      </c>
      <c r="AE61" s="145">
        <f>IF(U61="x",5%,0)</f>
        <v>0.05</v>
      </c>
    </row>
    <row r="62" s="90" customFormat="1" ht="33" customHeight="1">
      <c r="A62" s="133"/>
      <c r="C62" s="170"/>
      <c r="D62" s="132"/>
      <c r="E62" s="132"/>
      <c r="F62" s="171"/>
      <c r="G62" s="132"/>
      <c r="H62" s="172"/>
      <c r="I62" t="s" s="135">
        <f>IF(ISBLANK(C62),"",IF(L62="L","Baixa",IF(L62="A","Média",IF(L62="","","Alta"))))</f>
      </c>
      <c r="J62" t="s" s="136">
        <f>CONCATENATE(C62,L62)</f>
      </c>
      <c r="K62" t="s" s="136">
        <f>IF(ISBLANK(C62),"",IF(C62="ALI",IF(L62="L",7,IF(L62="A",10,15)),IF(C62="AIE",IF(L62="L",5,IF(L62="A",7,10)),IF(C62="SE",IF(L62="L",4,IF(L62="A",5,7)),IF(OR(C62="EE",C62="CE"),IF(L62="L",3,IF(L62="A",4,6)),0)))))</f>
      </c>
      <c r="L62" t="s" s="137">
        <f>IF(OR(ISBLANK(E62),ISBLANK(G62)),IF(OR(C62="ALI",C62="AIE"),"L",IF(OR(C62="EE",C62="SE",C62="CE"),"A","")),IF(C62="EE",IF(G62&gt;=3,IF(E62&gt;=5,"H","A"),IF(G62&gt;=2,IF(E62&gt;=16,"H",IF(E62&lt;=4,"L","A")),IF(E62&lt;=15,"L","A"))),IF(OR(C62="SE",C62="CE"),IF(G62&gt;=4,IF(E62&gt;=6,"H","A"),IF(G62&gt;=2,IF(E62&gt;=20,"H",IF(E62&lt;=5,"L","A")),IF(E62&lt;=19,"L","A"))),IF(OR(C62="ALI",C62="AIE"),IF(G62&gt;=6,IF(E62&gt;=20,"H","A"),IF(G62&gt;=2,IF(E62&gt;=51,"H",IF(E62&lt;=19,"L","A")),IF(E62&lt;=50,"L","A"))),""))))</f>
      </c>
      <c r="M62" t="s" s="136">
        <f>CONCATENATE(C62,D62)</f>
      </c>
      <c r="N62" t="s" s="136">
        <f>IF(OR(K62="",K62=0),O62,K62)</f>
      </c>
      <c r="O62" t="s" s="138">
        <f>_xlfn.IFERROR(IF(NOT(ISERROR(VLOOKUP(C62,'Deflatores Sisp'!G$42:H$70,2,FALSE))),VLOOKUP(C62,'Deflatores Sisp'!G$42:H$70,2,FALSE),IF(OR(ISBLANK(D62),ISBLANK(C62)),"",VLOOKUP(D62,'Deflatores Sisp'!G$4:H$38,2,FALSE)*K62+VLOOKUP(D62,'Deflatores Sisp'!G$4:I$38,3,FALSE)))*W62,"")</f>
      </c>
      <c r="P62" t="s" s="156">
        <v>80</v>
      </c>
      <c r="Q62" t="s" s="136">
        <v>80</v>
      </c>
      <c r="R62" t="s" s="136">
        <v>80</v>
      </c>
      <c r="S62" t="s" s="136">
        <v>80</v>
      </c>
      <c r="T62" s="149"/>
      <c r="U62" t="s" s="136">
        <v>80</v>
      </c>
      <c r="V62" s="141"/>
      <c r="W62" s="142">
        <f>IF(V62="",SUM(Z62:AE62),IF(C62="PA",E62,100%))</f>
        <v>0.95</v>
      </c>
      <c r="X62" s="143"/>
      <c r="Y62" s="144"/>
      <c r="Z62" s="145">
        <f>IF(P62="x",25%,0)</f>
        <v>0.25</v>
      </c>
      <c r="AA62" s="145">
        <f>IF(Q62="x",10%,0)</f>
        <v>0.1</v>
      </c>
      <c r="AB62" s="145">
        <f>IF(R62="x",40%,0)</f>
        <v>0.4</v>
      </c>
      <c r="AC62" s="145">
        <f>IF(S62="x",15%,0)</f>
        <v>0.15</v>
      </c>
      <c r="AD62" s="145">
        <f>IF(T62="x",5%,0)</f>
        <v>0</v>
      </c>
      <c r="AE62" s="145">
        <f>IF(U62="x",5%,0)</f>
        <v>0.05</v>
      </c>
    </row>
    <row r="63" s="90" customFormat="1" ht="33" customHeight="1">
      <c r="A63" s="133"/>
      <c r="C63" s="170"/>
      <c r="D63" s="132"/>
      <c r="E63" s="132"/>
      <c r="F63" s="171"/>
      <c r="G63" s="132"/>
      <c r="H63" s="172"/>
      <c r="I63" t="s" s="135">
        <f>IF(ISBLANK(C63),"",IF(L63="L","Baixa",IF(L63="A","Média",IF(L63="","","Alta"))))</f>
      </c>
      <c r="J63" t="s" s="136">
        <f>CONCATENATE(C63,L63)</f>
      </c>
      <c r="K63" t="s" s="136">
        <f>IF(ISBLANK(C63),"",IF(C63="ALI",IF(L63="L",7,IF(L63="A",10,15)),IF(C63="AIE",IF(L63="L",5,IF(L63="A",7,10)),IF(C63="SE",IF(L63="L",4,IF(L63="A",5,7)),IF(OR(C63="EE",C63="CE"),IF(L63="L",3,IF(L63="A",4,6)),0)))))</f>
      </c>
      <c r="L63" t="s" s="137">
        <f>IF(OR(ISBLANK(E63),ISBLANK(G63)),IF(OR(C63="ALI",C63="AIE"),"L",IF(OR(C63="EE",C63="SE",C63="CE"),"A","")),IF(C63="EE",IF(G63&gt;=3,IF(E63&gt;=5,"H","A"),IF(G63&gt;=2,IF(E63&gt;=16,"H",IF(E63&lt;=4,"L","A")),IF(E63&lt;=15,"L","A"))),IF(OR(C63="SE",C63="CE"),IF(G63&gt;=4,IF(E63&gt;=6,"H","A"),IF(G63&gt;=2,IF(E63&gt;=20,"H",IF(E63&lt;=5,"L","A")),IF(E63&lt;=19,"L","A"))),IF(OR(C63="ALI",C63="AIE"),IF(G63&gt;=6,IF(E63&gt;=20,"H","A"),IF(G63&gt;=2,IF(E63&gt;=51,"H",IF(E63&lt;=19,"L","A")),IF(E63&lt;=50,"L","A"))),""))))</f>
      </c>
      <c r="M63" t="s" s="136">
        <f>CONCATENATE(C63,D63)</f>
      </c>
      <c r="N63" t="s" s="136">
        <f>IF(OR(K63="",K63=0),O63,K63)</f>
      </c>
      <c r="O63" t="s" s="138">
        <f>_xlfn.IFERROR(IF(NOT(ISERROR(VLOOKUP(C63,'Deflatores Sisp'!G$42:H$70,2,FALSE))),VLOOKUP(C63,'Deflatores Sisp'!G$42:H$70,2,FALSE),IF(OR(ISBLANK(D63),ISBLANK(C63)),"",VLOOKUP(D63,'Deflatores Sisp'!G$4:H$38,2,FALSE)*K63+VLOOKUP(D63,'Deflatores Sisp'!G$4:I$38,3,FALSE)))*W63,"")</f>
      </c>
      <c r="P63" t="s" s="156">
        <v>80</v>
      </c>
      <c r="Q63" t="s" s="136">
        <v>80</v>
      </c>
      <c r="R63" t="s" s="136">
        <v>80</v>
      </c>
      <c r="S63" t="s" s="136">
        <v>80</v>
      </c>
      <c r="T63" s="149"/>
      <c r="U63" t="s" s="136">
        <v>80</v>
      </c>
      <c r="V63" s="141"/>
      <c r="W63" s="142">
        <f>IF(V63="",SUM(Z63:AE63),IF(C63="PA",E63,100%))</f>
        <v>0.95</v>
      </c>
      <c r="X63" s="143"/>
      <c r="Y63" s="144"/>
      <c r="Z63" s="145">
        <f>IF(P63="x",25%,0)</f>
        <v>0.25</v>
      </c>
      <c r="AA63" s="145">
        <f>IF(Q63="x",10%,0)</f>
        <v>0.1</v>
      </c>
      <c r="AB63" s="145">
        <f>IF(R63="x",40%,0)</f>
        <v>0.4</v>
      </c>
      <c r="AC63" s="145">
        <f>IF(S63="x",15%,0)</f>
        <v>0.15</v>
      </c>
      <c r="AD63" s="145">
        <f>IF(T63="x",5%,0)</f>
        <v>0</v>
      </c>
      <c r="AE63" s="145">
        <f>IF(U63="x",5%,0)</f>
        <v>0.05</v>
      </c>
    </row>
    <row r="64" s="90" customFormat="1" ht="33" customHeight="1">
      <c r="A64" s="133"/>
      <c r="C64" s="170"/>
      <c r="D64" s="132"/>
      <c r="E64" s="132"/>
      <c r="F64" s="171"/>
      <c r="G64" s="132"/>
      <c r="H64" s="172"/>
      <c r="I64" t="s" s="135">
        <f>IF(ISBLANK(C64),"",IF(L64="L","Baixa",IF(L64="A","Média",IF(L64="","","Alta"))))</f>
      </c>
      <c r="J64" t="s" s="136">
        <f>CONCATENATE(C64,L64)</f>
      </c>
      <c r="K64" t="s" s="136">
        <f>IF(ISBLANK(C64),"",IF(C64="ALI",IF(L64="L",7,IF(L64="A",10,15)),IF(C64="AIE",IF(L64="L",5,IF(L64="A",7,10)),IF(C64="SE",IF(L64="L",4,IF(L64="A",5,7)),IF(OR(C64="EE",C64="CE"),IF(L64="L",3,IF(L64="A",4,6)),0)))))</f>
      </c>
      <c r="L64" t="s" s="137">
        <f>IF(OR(ISBLANK(E64),ISBLANK(G64)),IF(OR(C64="ALI",C64="AIE"),"L",IF(OR(C64="EE",C64="SE",C64="CE"),"A","")),IF(C64="EE",IF(G64&gt;=3,IF(E64&gt;=5,"H","A"),IF(G64&gt;=2,IF(E64&gt;=16,"H",IF(E64&lt;=4,"L","A")),IF(E64&lt;=15,"L","A"))),IF(OR(C64="SE",C64="CE"),IF(G64&gt;=4,IF(E64&gt;=6,"H","A"),IF(G64&gt;=2,IF(E64&gt;=20,"H",IF(E64&lt;=5,"L","A")),IF(E64&lt;=19,"L","A"))),IF(OR(C64="ALI",C64="AIE"),IF(G64&gt;=6,IF(E64&gt;=20,"H","A"),IF(G64&gt;=2,IF(E64&gt;=51,"H",IF(E64&lt;=19,"L","A")),IF(E64&lt;=50,"L","A"))),""))))</f>
      </c>
      <c r="M64" t="s" s="136">
        <f>CONCATENATE(C64,D64)</f>
      </c>
      <c r="N64" t="s" s="136">
        <f>IF(OR(K64="",K64=0),O64,K64)</f>
      </c>
      <c r="O64" t="s" s="138">
        <f>_xlfn.IFERROR(IF(NOT(ISERROR(VLOOKUP(C64,'Deflatores Sisp'!G$42:H$70,2,FALSE))),VLOOKUP(C64,'Deflatores Sisp'!G$42:H$70,2,FALSE),IF(OR(ISBLANK(D64),ISBLANK(C64)),"",VLOOKUP(D64,'Deflatores Sisp'!G$4:H$38,2,FALSE)*K64+VLOOKUP(D64,'Deflatores Sisp'!G$4:I$38,3,FALSE)))*W64,"")</f>
      </c>
      <c r="P64" t="s" s="156">
        <v>80</v>
      </c>
      <c r="Q64" t="s" s="136">
        <v>80</v>
      </c>
      <c r="R64" t="s" s="136">
        <v>80</v>
      </c>
      <c r="S64" t="s" s="136">
        <v>80</v>
      </c>
      <c r="T64" s="149"/>
      <c r="U64" t="s" s="136">
        <v>80</v>
      </c>
      <c r="V64" s="141"/>
      <c r="W64" s="142">
        <f>IF(V64="",SUM(Z64:AE64),IF(C64="PA",E64,100%))</f>
        <v>0.95</v>
      </c>
      <c r="X64" s="143"/>
      <c r="Y64" s="144"/>
      <c r="Z64" s="145">
        <f>IF(P64="x",25%,0)</f>
        <v>0.25</v>
      </c>
      <c r="AA64" s="145">
        <f>IF(Q64="x",10%,0)</f>
        <v>0.1</v>
      </c>
      <c r="AB64" s="145">
        <f>IF(R64="x",40%,0)</f>
        <v>0.4</v>
      </c>
      <c r="AC64" s="145">
        <f>IF(S64="x",15%,0)</f>
        <v>0.15</v>
      </c>
      <c r="AD64" s="145">
        <f>IF(T64="x",5%,0)</f>
        <v>0</v>
      </c>
      <c r="AE64" s="145">
        <f>IF(U64="x",5%,0)</f>
        <v>0.05</v>
      </c>
    </row>
    <row r="65" s="90" customFormat="1" ht="33" customHeight="1">
      <c r="A65" s="133"/>
      <c r="C65" s="170"/>
      <c r="D65" s="132"/>
      <c r="E65" s="132"/>
      <c r="F65" s="171"/>
      <c r="G65" s="132"/>
      <c r="H65" s="172"/>
      <c r="I65" t="s" s="135">
        <f>IF(ISBLANK(C65),"",IF(L65="L","Baixa",IF(L65="A","Média",IF(L65="","","Alta"))))</f>
      </c>
      <c r="J65" t="s" s="136">
        <f>CONCATENATE(C65,L65)</f>
      </c>
      <c r="K65" t="s" s="136">
        <f>IF(ISBLANK(C65),"",IF(C65="ALI",IF(L65="L",7,IF(L65="A",10,15)),IF(C65="AIE",IF(L65="L",5,IF(L65="A",7,10)),IF(C65="SE",IF(L65="L",4,IF(L65="A",5,7)),IF(OR(C65="EE",C65="CE"),IF(L65="L",3,IF(L65="A",4,6)),0)))))</f>
      </c>
      <c r="L65" t="s" s="137">
        <f>IF(OR(ISBLANK(E65),ISBLANK(G65)),IF(OR(C65="ALI",C65="AIE"),"L",IF(OR(C65="EE",C65="SE",C65="CE"),"A","")),IF(C65="EE",IF(G65&gt;=3,IF(E65&gt;=5,"H","A"),IF(G65&gt;=2,IF(E65&gt;=16,"H",IF(E65&lt;=4,"L","A")),IF(E65&lt;=15,"L","A"))),IF(OR(C65="SE",C65="CE"),IF(G65&gt;=4,IF(E65&gt;=6,"H","A"),IF(G65&gt;=2,IF(E65&gt;=20,"H",IF(E65&lt;=5,"L","A")),IF(E65&lt;=19,"L","A"))),IF(OR(C65="ALI",C65="AIE"),IF(G65&gt;=6,IF(E65&gt;=20,"H","A"),IF(G65&gt;=2,IF(E65&gt;=51,"H",IF(E65&lt;=19,"L","A")),IF(E65&lt;=50,"L","A"))),""))))</f>
      </c>
      <c r="M65" t="s" s="136">
        <f>CONCATENATE(C65,D65)</f>
      </c>
      <c r="N65" t="s" s="136">
        <f>IF(OR(K65="",K65=0),O65,K65)</f>
      </c>
      <c r="O65" t="s" s="138">
        <f>_xlfn.IFERROR(IF(NOT(ISERROR(VLOOKUP(C65,'Deflatores Sisp'!G$42:H$70,2,FALSE))),VLOOKUP(C65,'Deflatores Sisp'!G$42:H$70,2,FALSE),IF(OR(ISBLANK(D65),ISBLANK(C65)),"",VLOOKUP(D65,'Deflatores Sisp'!G$4:H$38,2,FALSE)*K65+VLOOKUP(D65,'Deflatores Sisp'!G$4:I$38,3,FALSE)))*W65,"")</f>
      </c>
      <c r="P65" t="s" s="156">
        <v>80</v>
      </c>
      <c r="Q65" t="s" s="136">
        <v>80</v>
      </c>
      <c r="R65" t="s" s="136">
        <v>80</v>
      </c>
      <c r="S65" t="s" s="136">
        <v>80</v>
      </c>
      <c r="T65" s="149"/>
      <c r="U65" t="s" s="136">
        <v>80</v>
      </c>
      <c r="V65" s="141"/>
      <c r="W65" s="142">
        <f>IF(V65="",SUM(Z65:AE65),IF(C65="PA",E65,100%))</f>
        <v>0.95</v>
      </c>
      <c r="X65" s="143"/>
      <c r="Y65" s="144"/>
      <c r="Z65" s="145">
        <f>IF(P65="x",25%,0)</f>
        <v>0.25</v>
      </c>
      <c r="AA65" s="145">
        <f>IF(Q65="x",10%,0)</f>
        <v>0.1</v>
      </c>
      <c r="AB65" s="145">
        <f>IF(R65="x",40%,0)</f>
        <v>0.4</v>
      </c>
      <c r="AC65" s="145">
        <f>IF(S65="x",15%,0)</f>
        <v>0.15</v>
      </c>
      <c r="AD65" s="145">
        <f>IF(T65="x",5%,0)</f>
        <v>0</v>
      </c>
      <c r="AE65" s="145">
        <f>IF(U65="x",5%,0)</f>
        <v>0.05</v>
      </c>
    </row>
    <row r="66" s="90" customFormat="1" ht="33" customHeight="1">
      <c r="A66" s="133"/>
      <c r="C66" s="170"/>
      <c r="D66" s="132"/>
      <c r="E66" s="132"/>
      <c r="F66" s="171"/>
      <c r="G66" s="132"/>
      <c r="H66" s="172"/>
      <c r="I66" t="s" s="135">
        <f>IF(ISBLANK(C66),"",IF(L66="L","Baixa",IF(L66="A","Média",IF(L66="","","Alta"))))</f>
      </c>
      <c r="J66" t="s" s="136">
        <f>CONCATENATE(C66,L66)</f>
      </c>
      <c r="K66" t="s" s="136">
        <f>IF(ISBLANK(C66),"",IF(C66="ALI",IF(L66="L",7,IF(L66="A",10,15)),IF(C66="AIE",IF(L66="L",5,IF(L66="A",7,10)),IF(C66="SE",IF(L66="L",4,IF(L66="A",5,7)),IF(OR(C66="EE",C66="CE"),IF(L66="L",3,IF(L66="A",4,6)),0)))))</f>
      </c>
      <c r="L66" t="s" s="137">
        <f>IF(OR(ISBLANK(E66),ISBLANK(G66)),IF(OR(C66="ALI",C66="AIE"),"L",IF(OR(C66="EE",C66="SE",C66="CE"),"A","")),IF(C66="EE",IF(G66&gt;=3,IF(E66&gt;=5,"H","A"),IF(G66&gt;=2,IF(E66&gt;=16,"H",IF(E66&lt;=4,"L","A")),IF(E66&lt;=15,"L","A"))),IF(OR(C66="SE",C66="CE"),IF(G66&gt;=4,IF(E66&gt;=6,"H","A"),IF(G66&gt;=2,IF(E66&gt;=20,"H",IF(E66&lt;=5,"L","A")),IF(E66&lt;=19,"L","A"))),IF(OR(C66="ALI",C66="AIE"),IF(G66&gt;=6,IF(E66&gt;=20,"H","A"),IF(G66&gt;=2,IF(E66&gt;=51,"H",IF(E66&lt;=19,"L","A")),IF(E66&lt;=50,"L","A"))),""))))</f>
      </c>
      <c r="M66" t="s" s="136">
        <f>CONCATENATE(C66,D66)</f>
      </c>
      <c r="N66" t="s" s="136">
        <f>IF(OR(K66="",K66=0),O66,K66)</f>
      </c>
      <c r="O66" t="s" s="138">
        <f>_xlfn.IFERROR(IF(NOT(ISERROR(VLOOKUP(C66,'Deflatores Sisp'!G$42:H$70,2,FALSE))),VLOOKUP(C66,'Deflatores Sisp'!G$42:H$70,2,FALSE),IF(OR(ISBLANK(D66),ISBLANK(C66)),"",VLOOKUP(D66,'Deflatores Sisp'!G$4:H$38,2,FALSE)*K66+VLOOKUP(D66,'Deflatores Sisp'!G$4:I$38,3,FALSE)))*W66,"")</f>
      </c>
      <c r="P66" t="s" s="156">
        <v>80</v>
      </c>
      <c r="Q66" t="s" s="136">
        <v>80</v>
      </c>
      <c r="R66" t="s" s="136">
        <v>80</v>
      </c>
      <c r="S66" t="s" s="136">
        <v>80</v>
      </c>
      <c r="T66" s="149"/>
      <c r="U66" t="s" s="136">
        <v>80</v>
      </c>
      <c r="V66" s="141"/>
      <c r="W66" s="142">
        <f>IF(V66="",SUM(Z66:AE66),IF(C66="PA",E66,100%))</f>
        <v>0.95</v>
      </c>
      <c r="X66" s="143"/>
      <c r="Y66" s="144"/>
      <c r="Z66" s="145">
        <f>IF(P66="x",25%,0)</f>
        <v>0.25</v>
      </c>
      <c r="AA66" s="145">
        <f>IF(Q66="x",10%,0)</f>
        <v>0.1</v>
      </c>
      <c r="AB66" s="145">
        <f>IF(R66="x",40%,0)</f>
        <v>0.4</v>
      </c>
      <c r="AC66" s="145">
        <f>IF(S66="x",15%,0)</f>
        <v>0.15</v>
      </c>
      <c r="AD66" s="145">
        <f>IF(T66="x",5%,0)</f>
        <v>0</v>
      </c>
      <c r="AE66" s="145">
        <f>IF(U66="x",5%,0)</f>
        <v>0.05</v>
      </c>
    </row>
    <row r="67" s="90" customFormat="1" ht="33" customHeight="1">
      <c r="A67" s="133"/>
      <c r="C67" s="170"/>
      <c r="D67" s="132"/>
      <c r="E67" s="132"/>
      <c r="F67" s="171"/>
      <c r="G67" s="132"/>
      <c r="H67" s="172"/>
      <c r="I67" t="s" s="135">
        <f>IF(ISBLANK(C67),"",IF(L67="L","Baixa",IF(L67="A","Média",IF(L67="","","Alta"))))</f>
      </c>
      <c r="J67" t="s" s="136">
        <f>CONCATENATE(C67,L67)</f>
      </c>
      <c r="K67" t="s" s="136">
        <f>IF(ISBLANK(C67),"",IF(C67="ALI",IF(L67="L",7,IF(L67="A",10,15)),IF(C67="AIE",IF(L67="L",5,IF(L67="A",7,10)),IF(C67="SE",IF(L67="L",4,IF(L67="A",5,7)),IF(OR(C67="EE",C67="CE"),IF(L67="L",3,IF(L67="A",4,6)),0)))))</f>
      </c>
      <c r="L67" t="s" s="137">
        <f>IF(OR(ISBLANK(E67),ISBLANK(G67)),IF(OR(C67="ALI",C67="AIE"),"L",IF(OR(C67="EE",C67="SE",C67="CE"),"A","")),IF(C67="EE",IF(G67&gt;=3,IF(E67&gt;=5,"H","A"),IF(G67&gt;=2,IF(E67&gt;=16,"H",IF(E67&lt;=4,"L","A")),IF(E67&lt;=15,"L","A"))),IF(OR(C67="SE",C67="CE"),IF(G67&gt;=4,IF(E67&gt;=6,"H","A"),IF(G67&gt;=2,IF(E67&gt;=20,"H",IF(E67&lt;=5,"L","A")),IF(E67&lt;=19,"L","A"))),IF(OR(C67="ALI",C67="AIE"),IF(G67&gt;=6,IF(E67&gt;=20,"H","A"),IF(G67&gt;=2,IF(E67&gt;=51,"H",IF(E67&lt;=19,"L","A")),IF(E67&lt;=50,"L","A"))),""))))</f>
      </c>
      <c r="M67" t="s" s="136">
        <f>CONCATENATE(C67,D67)</f>
      </c>
      <c r="N67" t="s" s="136">
        <f>IF(OR(K67="",K67=0),O67,K67)</f>
      </c>
      <c r="O67" t="s" s="138">
        <f>_xlfn.IFERROR(IF(NOT(ISERROR(VLOOKUP(C67,'Deflatores Sisp'!G$42:H$70,2,FALSE))),VLOOKUP(C67,'Deflatores Sisp'!G$42:H$70,2,FALSE),IF(OR(ISBLANK(D67),ISBLANK(C67)),"",VLOOKUP(D67,'Deflatores Sisp'!G$4:H$38,2,FALSE)*K67+VLOOKUP(D67,'Deflatores Sisp'!G$4:I$38,3,FALSE)))*W67,"")</f>
      </c>
      <c r="P67" t="s" s="156">
        <v>80</v>
      </c>
      <c r="Q67" t="s" s="136">
        <v>80</v>
      </c>
      <c r="R67" t="s" s="136">
        <v>80</v>
      </c>
      <c r="S67" t="s" s="136">
        <v>80</v>
      </c>
      <c r="T67" s="149"/>
      <c r="U67" t="s" s="136">
        <v>80</v>
      </c>
      <c r="V67" s="141"/>
      <c r="W67" s="142">
        <f>IF(V67="",SUM(Z67:AE67),IF(C67="PA",E67,100%))</f>
        <v>0.95</v>
      </c>
      <c r="X67" s="143"/>
      <c r="Y67" s="144"/>
      <c r="Z67" s="145">
        <f>IF(P67="x",25%,0)</f>
        <v>0.25</v>
      </c>
      <c r="AA67" s="145">
        <f>IF(Q67="x",10%,0)</f>
        <v>0.1</v>
      </c>
      <c r="AB67" s="145">
        <f>IF(R67="x",40%,0)</f>
        <v>0.4</v>
      </c>
      <c r="AC67" s="145">
        <f>IF(S67="x",15%,0)</f>
        <v>0.15</v>
      </c>
      <c r="AD67" s="145">
        <f>IF(T67="x",5%,0)</f>
        <v>0</v>
      </c>
      <c r="AE67" s="145">
        <f>IF(U67="x",5%,0)</f>
        <v>0.05</v>
      </c>
    </row>
    <row r="68" s="90" customFormat="1" ht="33" customHeight="1">
      <c r="A68" s="133"/>
      <c r="C68" s="170"/>
      <c r="D68" s="132"/>
      <c r="E68" s="132"/>
      <c r="F68" s="171"/>
      <c r="G68" s="132"/>
      <c r="H68" s="172"/>
      <c r="I68" t="s" s="135">
        <f>IF(ISBLANK(C68),"",IF(L68="L","Baixa",IF(L68="A","Média",IF(L68="","","Alta"))))</f>
      </c>
      <c r="J68" t="s" s="136">
        <f>CONCATENATE(C68,L68)</f>
      </c>
      <c r="K68" t="s" s="136">
        <f>IF(ISBLANK(C68),"",IF(C68="ALI",IF(L68="L",7,IF(L68="A",10,15)),IF(C68="AIE",IF(L68="L",5,IF(L68="A",7,10)),IF(C68="SE",IF(L68="L",4,IF(L68="A",5,7)),IF(OR(C68="EE",C68="CE"),IF(L68="L",3,IF(L68="A",4,6)),0)))))</f>
      </c>
      <c r="L68" t="s" s="137">
        <f>IF(OR(ISBLANK(E68),ISBLANK(G68)),IF(OR(C68="ALI",C68="AIE"),"L",IF(OR(C68="EE",C68="SE",C68="CE"),"A","")),IF(C68="EE",IF(G68&gt;=3,IF(E68&gt;=5,"H","A"),IF(G68&gt;=2,IF(E68&gt;=16,"H",IF(E68&lt;=4,"L","A")),IF(E68&lt;=15,"L","A"))),IF(OR(C68="SE",C68="CE"),IF(G68&gt;=4,IF(E68&gt;=6,"H","A"),IF(G68&gt;=2,IF(E68&gt;=20,"H",IF(E68&lt;=5,"L","A")),IF(E68&lt;=19,"L","A"))),IF(OR(C68="ALI",C68="AIE"),IF(G68&gt;=6,IF(E68&gt;=20,"H","A"),IF(G68&gt;=2,IF(E68&gt;=51,"H",IF(E68&lt;=19,"L","A")),IF(E68&lt;=50,"L","A"))),""))))</f>
      </c>
      <c r="M68" t="s" s="136">
        <f>CONCATENATE(C68,D68)</f>
      </c>
      <c r="N68" t="s" s="136">
        <f>IF(OR(K68="",K68=0),O68,K68)</f>
      </c>
      <c r="O68" t="s" s="138">
        <f>_xlfn.IFERROR(IF(NOT(ISERROR(VLOOKUP(C68,'Deflatores Sisp'!G$42:H$70,2,FALSE))),VLOOKUP(C68,'Deflatores Sisp'!G$42:H$70,2,FALSE),IF(OR(ISBLANK(D68),ISBLANK(C68)),"",VLOOKUP(D68,'Deflatores Sisp'!G$4:H$38,2,FALSE)*K68+VLOOKUP(D68,'Deflatores Sisp'!G$4:I$38,3,FALSE)))*W68,"")</f>
      </c>
      <c r="P68" t="s" s="156">
        <v>80</v>
      </c>
      <c r="Q68" t="s" s="136">
        <v>80</v>
      </c>
      <c r="R68" t="s" s="136">
        <v>80</v>
      </c>
      <c r="S68" t="s" s="136">
        <v>80</v>
      </c>
      <c r="T68" s="149"/>
      <c r="U68" t="s" s="136">
        <v>80</v>
      </c>
      <c r="V68" s="141"/>
      <c r="W68" s="142">
        <f>IF(V68="",SUM(Z68:AE68),IF(C68="PA",E68,100%))</f>
        <v>0.95</v>
      </c>
      <c r="X68" s="143"/>
      <c r="Y68" s="144"/>
      <c r="Z68" s="145">
        <f>IF(P68="x",25%,0)</f>
        <v>0.25</v>
      </c>
      <c r="AA68" s="145">
        <f>IF(Q68="x",10%,0)</f>
        <v>0.1</v>
      </c>
      <c r="AB68" s="145">
        <f>IF(R68="x",40%,0)</f>
        <v>0.4</v>
      </c>
      <c r="AC68" s="145">
        <f>IF(S68="x",15%,0)</f>
        <v>0.15</v>
      </c>
      <c r="AD68" s="145">
        <f>IF(T68="x",5%,0)</f>
        <v>0</v>
      </c>
      <c r="AE68" s="145">
        <f>IF(U68="x",5%,0)</f>
        <v>0.05</v>
      </c>
    </row>
    <row r="69" s="90" customFormat="1" ht="33" customHeight="1">
      <c r="A69" s="133"/>
      <c r="C69" s="170"/>
      <c r="D69" s="132"/>
      <c r="E69" s="132"/>
      <c r="F69" s="171"/>
      <c r="G69" s="132"/>
      <c r="H69" s="172"/>
      <c r="I69" t="s" s="135">
        <f>IF(ISBLANK(C69),"",IF(L69="L","Baixa",IF(L69="A","Média",IF(L69="","","Alta"))))</f>
      </c>
      <c r="J69" t="s" s="136">
        <f>CONCATENATE(C69,L69)</f>
      </c>
      <c r="K69" t="s" s="136">
        <f>IF(ISBLANK(C69),"",IF(C69="ALI",IF(L69="L",7,IF(L69="A",10,15)),IF(C69="AIE",IF(L69="L",5,IF(L69="A",7,10)),IF(C69="SE",IF(L69="L",4,IF(L69="A",5,7)),IF(OR(C69="EE",C69="CE"),IF(L69="L",3,IF(L69="A",4,6)),0)))))</f>
      </c>
      <c r="L69" t="s" s="137">
        <f>IF(OR(ISBLANK(E69),ISBLANK(G69)),IF(OR(C69="ALI",C69="AIE"),"L",IF(OR(C69="EE",C69="SE",C69="CE"),"A","")),IF(C69="EE",IF(G69&gt;=3,IF(E69&gt;=5,"H","A"),IF(G69&gt;=2,IF(E69&gt;=16,"H",IF(E69&lt;=4,"L","A")),IF(E69&lt;=15,"L","A"))),IF(OR(C69="SE",C69="CE"),IF(G69&gt;=4,IF(E69&gt;=6,"H","A"),IF(G69&gt;=2,IF(E69&gt;=20,"H",IF(E69&lt;=5,"L","A")),IF(E69&lt;=19,"L","A"))),IF(OR(C69="ALI",C69="AIE"),IF(G69&gt;=6,IF(E69&gt;=20,"H","A"),IF(G69&gt;=2,IF(E69&gt;=51,"H",IF(E69&lt;=19,"L","A")),IF(E69&lt;=50,"L","A"))),""))))</f>
      </c>
      <c r="M69" t="s" s="136">
        <f>CONCATENATE(C69,D69)</f>
      </c>
      <c r="N69" t="s" s="136">
        <f>IF(OR(K69="",K69=0),O69,K69)</f>
      </c>
      <c r="O69" t="s" s="138">
        <f>_xlfn.IFERROR(IF(NOT(ISERROR(VLOOKUP(C69,'Deflatores Sisp'!G$42:H$70,2,FALSE))),VLOOKUP(C69,'Deflatores Sisp'!G$42:H$70,2,FALSE),IF(OR(ISBLANK(D69),ISBLANK(C69)),"",VLOOKUP(D69,'Deflatores Sisp'!G$4:H$38,2,FALSE)*K69+VLOOKUP(D69,'Deflatores Sisp'!G$4:I$38,3,FALSE)))*W69,"")</f>
      </c>
      <c r="P69" t="s" s="156">
        <v>80</v>
      </c>
      <c r="Q69" t="s" s="136">
        <v>80</v>
      </c>
      <c r="R69" t="s" s="136">
        <v>80</v>
      </c>
      <c r="S69" t="s" s="136">
        <v>80</v>
      </c>
      <c r="T69" s="149"/>
      <c r="U69" t="s" s="136">
        <v>80</v>
      </c>
      <c r="V69" s="141"/>
      <c r="W69" s="142">
        <f>IF(V69="",SUM(Z69:AE69),IF(C69="PA",E69,100%))</f>
        <v>0.95</v>
      </c>
      <c r="X69" s="143"/>
      <c r="Y69" s="144"/>
      <c r="Z69" s="145">
        <f>IF(P69="x",25%,0)</f>
        <v>0.25</v>
      </c>
      <c r="AA69" s="145">
        <f>IF(Q69="x",10%,0)</f>
        <v>0.1</v>
      </c>
      <c r="AB69" s="145">
        <f>IF(R69="x",40%,0)</f>
        <v>0.4</v>
      </c>
      <c r="AC69" s="145">
        <f>IF(S69="x",15%,0)</f>
        <v>0.15</v>
      </c>
      <c r="AD69" s="145">
        <f>IF(T69="x",5%,0)</f>
        <v>0</v>
      </c>
      <c r="AE69" s="145">
        <f>IF(U69="x",5%,0)</f>
        <v>0.05</v>
      </c>
    </row>
    <row r="70" s="90" customFormat="1" ht="33" customHeight="1">
      <c r="A70" s="133"/>
      <c r="C70" s="170"/>
      <c r="D70" s="132"/>
      <c r="E70" s="132"/>
      <c r="F70" s="171"/>
      <c r="G70" s="132"/>
      <c r="H70" s="172"/>
      <c r="I70" t="s" s="135">
        <f>IF(ISBLANK(C70),"",IF(L70="L","Baixa",IF(L70="A","Média",IF(L70="","","Alta"))))</f>
      </c>
      <c r="J70" t="s" s="136">
        <f>CONCATENATE(C70,L70)</f>
      </c>
      <c r="K70" t="s" s="136">
        <f>IF(ISBLANK(C70),"",IF(C70="ALI",IF(L70="L",7,IF(L70="A",10,15)),IF(C70="AIE",IF(L70="L",5,IF(L70="A",7,10)),IF(C70="SE",IF(L70="L",4,IF(L70="A",5,7)),IF(OR(C70="EE",C70="CE"),IF(L70="L",3,IF(L70="A",4,6)),0)))))</f>
      </c>
      <c r="L70" t="s" s="137">
        <f>IF(OR(ISBLANK(E70),ISBLANK(G70)),IF(OR(C70="ALI",C70="AIE"),"L",IF(OR(C70="EE",C70="SE",C70="CE"),"A","")),IF(C70="EE",IF(G70&gt;=3,IF(E70&gt;=5,"H","A"),IF(G70&gt;=2,IF(E70&gt;=16,"H",IF(E70&lt;=4,"L","A")),IF(E70&lt;=15,"L","A"))),IF(OR(C70="SE",C70="CE"),IF(G70&gt;=4,IF(E70&gt;=6,"H","A"),IF(G70&gt;=2,IF(E70&gt;=20,"H",IF(E70&lt;=5,"L","A")),IF(E70&lt;=19,"L","A"))),IF(OR(C70="ALI",C70="AIE"),IF(G70&gt;=6,IF(E70&gt;=20,"H","A"),IF(G70&gt;=2,IF(E70&gt;=51,"H",IF(E70&lt;=19,"L","A")),IF(E70&lt;=50,"L","A"))),""))))</f>
      </c>
      <c r="M70" t="s" s="136">
        <f>CONCATENATE(C70,D70)</f>
      </c>
      <c r="N70" t="s" s="136">
        <f>IF(OR(K70="",K70=0),O70,K70)</f>
      </c>
      <c r="O70" t="s" s="138">
        <f>_xlfn.IFERROR(IF(NOT(ISERROR(VLOOKUP(C70,'Deflatores Sisp'!G$42:H$70,2,FALSE))),VLOOKUP(C70,'Deflatores Sisp'!G$42:H$70,2,FALSE),IF(OR(ISBLANK(D70),ISBLANK(C70)),"",VLOOKUP(D70,'Deflatores Sisp'!G$4:H$38,2,FALSE)*K70+VLOOKUP(D70,'Deflatores Sisp'!G$4:I$38,3,FALSE)))*W70,"")</f>
      </c>
      <c r="P70" t="s" s="156">
        <v>80</v>
      </c>
      <c r="Q70" t="s" s="136">
        <v>80</v>
      </c>
      <c r="R70" t="s" s="136">
        <v>80</v>
      </c>
      <c r="S70" t="s" s="136">
        <v>80</v>
      </c>
      <c r="T70" s="149"/>
      <c r="U70" t="s" s="136">
        <v>80</v>
      </c>
      <c r="V70" s="141"/>
      <c r="W70" s="142">
        <f>IF(V70="",SUM(Z70:AE70),IF(C70="PA",E70,100%))</f>
        <v>0.95</v>
      </c>
      <c r="X70" s="143"/>
      <c r="Y70" s="144"/>
      <c r="Z70" s="145">
        <f>IF(P70="x",25%,0)</f>
        <v>0.25</v>
      </c>
      <c r="AA70" s="145">
        <f>IF(Q70="x",10%,0)</f>
        <v>0.1</v>
      </c>
      <c r="AB70" s="145">
        <f>IF(R70="x",40%,0)</f>
        <v>0.4</v>
      </c>
      <c r="AC70" s="145">
        <f>IF(S70="x",15%,0)</f>
        <v>0.15</v>
      </c>
      <c r="AD70" s="145">
        <f>IF(T70="x",5%,0)</f>
        <v>0</v>
      </c>
      <c r="AE70" s="145">
        <f>IF(U70="x",5%,0)</f>
        <v>0.05</v>
      </c>
    </row>
    <row r="71" s="90" customFormat="1" ht="33" customHeight="1">
      <c r="A71" s="133"/>
      <c r="C71" s="170"/>
      <c r="D71" s="132"/>
      <c r="E71" s="132"/>
      <c r="F71" s="171"/>
      <c r="G71" s="132"/>
      <c r="H71" s="172"/>
      <c r="I71" t="s" s="135">
        <f>IF(ISBLANK(C71),"",IF(L71="L","Baixa",IF(L71="A","Média",IF(L71="","","Alta"))))</f>
      </c>
      <c r="J71" t="s" s="136">
        <f>CONCATENATE(C71,L71)</f>
      </c>
      <c r="K71" t="s" s="136">
        <f>IF(ISBLANK(C71),"",IF(C71="ALI",IF(L71="L",7,IF(L71="A",10,15)),IF(C71="AIE",IF(L71="L",5,IF(L71="A",7,10)),IF(C71="SE",IF(L71="L",4,IF(L71="A",5,7)),IF(OR(C71="EE",C71="CE"),IF(L71="L",3,IF(L71="A",4,6)),0)))))</f>
      </c>
      <c r="L71" t="s" s="137">
        <f>IF(OR(ISBLANK(E71),ISBLANK(G71)),IF(OR(C71="ALI",C71="AIE"),"L",IF(OR(C71="EE",C71="SE",C71="CE"),"A","")),IF(C71="EE",IF(G71&gt;=3,IF(E71&gt;=5,"H","A"),IF(G71&gt;=2,IF(E71&gt;=16,"H",IF(E71&lt;=4,"L","A")),IF(E71&lt;=15,"L","A"))),IF(OR(C71="SE",C71="CE"),IF(G71&gt;=4,IF(E71&gt;=6,"H","A"),IF(G71&gt;=2,IF(E71&gt;=20,"H",IF(E71&lt;=5,"L","A")),IF(E71&lt;=19,"L","A"))),IF(OR(C71="ALI",C71="AIE"),IF(G71&gt;=6,IF(E71&gt;=20,"H","A"),IF(G71&gt;=2,IF(E71&gt;=51,"H",IF(E71&lt;=19,"L","A")),IF(E71&lt;=50,"L","A"))),""))))</f>
      </c>
      <c r="M71" t="s" s="136">
        <f>CONCATENATE(C71,D71)</f>
      </c>
      <c r="N71" t="s" s="136">
        <f>IF(OR(K71="",K71=0),O71,K71)</f>
      </c>
      <c r="O71" t="s" s="138">
        <f>_xlfn.IFERROR(IF(NOT(ISERROR(VLOOKUP(C71,'Deflatores Sisp'!G$42:H$70,2,FALSE))),VLOOKUP(C71,'Deflatores Sisp'!G$42:H$70,2,FALSE),IF(OR(ISBLANK(D71),ISBLANK(C71)),"",VLOOKUP(D71,'Deflatores Sisp'!G$4:H$38,2,FALSE)*K71+VLOOKUP(D71,'Deflatores Sisp'!G$4:I$38,3,FALSE)))*W71,"")</f>
      </c>
      <c r="P71" t="s" s="156">
        <v>80</v>
      </c>
      <c r="Q71" t="s" s="136">
        <v>80</v>
      </c>
      <c r="R71" t="s" s="136">
        <v>80</v>
      </c>
      <c r="S71" t="s" s="136">
        <v>80</v>
      </c>
      <c r="T71" s="149"/>
      <c r="U71" t="s" s="136">
        <v>80</v>
      </c>
      <c r="V71" s="141"/>
      <c r="W71" s="142">
        <f>IF(V71="",SUM(Z71:AE71),IF(C71="PA",E71,100%))</f>
        <v>0.95</v>
      </c>
      <c r="X71" s="143"/>
      <c r="Y71" s="144"/>
      <c r="Z71" s="145">
        <f>IF(P71="x",25%,0)</f>
        <v>0.25</v>
      </c>
      <c r="AA71" s="145">
        <f>IF(Q71="x",10%,0)</f>
        <v>0.1</v>
      </c>
      <c r="AB71" s="145">
        <f>IF(R71="x",40%,0)</f>
        <v>0.4</v>
      </c>
      <c r="AC71" s="145">
        <f>IF(S71="x",15%,0)</f>
        <v>0.15</v>
      </c>
      <c r="AD71" s="145">
        <f>IF(T71="x",5%,0)</f>
        <v>0</v>
      </c>
      <c r="AE71" s="145">
        <f>IF(U71="x",5%,0)</f>
        <v>0.05</v>
      </c>
    </row>
    <row r="72" s="90" customFormat="1" ht="33" customHeight="1">
      <c r="A72" s="133"/>
      <c r="C72" s="170"/>
      <c r="D72" s="132"/>
      <c r="E72" s="132"/>
      <c r="F72" s="171"/>
      <c r="G72" s="132"/>
      <c r="H72" s="172"/>
      <c r="I72" t="s" s="135">
        <f>IF(ISBLANK(C72),"",IF(L72="L","Baixa",IF(L72="A","Média",IF(L72="","","Alta"))))</f>
      </c>
      <c r="J72" t="s" s="136">
        <f>CONCATENATE(C72,L72)</f>
      </c>
      <c r="K72" t="s" s="136">
        <f>IF(ISBLANK(C72),"",IF(C72="ALI",IF(L72="L",7,IF(L72="A",10,15)),IF(C72="AIE",IF(L72="L",5,IF(L72="A",7,10)),IF(C72="SE",IF(L72="L",4,IF(L72="A",5,7)),IF(OR(C72="EE",C72="CE"),IF(L72="L",3,IF(L72="A",4,6)),0)))))</f>
      </c>
      <c r="L72" t="s" s="137">
        <f>IF(OR(ISBLANK(E72),ISBLANK(G72)),IF(OR(C72="ALI",C72="AIE"),"L",IF(OR(C72="EE",C72="SE",C72="CE"),"A","")),IF(C72="EE",IF(G72&gt;=3,IF(E72&gt;=5,"H","A"),IF(G72&gt;=2,IF(E72&gt;=16,"H",IF(E72&lt;=4,"L","A")),IF(E72&lt;=15,"L","A"))),IF(OR(C72="SE",C72="CE"),IF(G72&gt;=4,IF(E72&gt;=6,"H","A"),IF(G72&gt;=2,IF(E72&gt;=20,"H",IF(E72&lt;=5,"L","A")),IF(E72&lt;=19,"L","A"))),IF(OR(C72="ALI",C72="AIE"),IF(G72&gt;=6,IF(E72&gt;=20,"H","A"),IF(G72&gt;=2,IF(E72&gt;=51,"H",IF(E72&lt;=19,"L","A")),IF(E72&lt;=50,"L","A"))),""))))</f>
      </c>
      <c r="M72" t="s" s="136">
        <f>CONCATENATE(C72,D72)</f>
      </c>
      <c r="N72" t="s" s="136">
        <f>IF(OR(K72="",K72=0),O72,K72)</f>
      </c>
      <c r="O72" t="s" s="138">
        <f>_xlfn.IFERROR(IF(NOT(ISERROR(VLOOKUP(C72,'Deflatores Sisp'!G$42:H$70,2,FALSE))),VLOOKUP(C72,'Deflatores Sisp'!G$42:H$70,2,FALSE),IF(OR(ISBLANK(D72),ISBLANK(C72)),"",VLOOKUP(D72,'Deflatores Sisp'!G$4:H$38,2,FALSE)*K72+VLOOKUP(D72,'Deflatores Sisp'!G$4:I$38,3,FALSE)))*W72,"")</f>
      </c>
      <c r="P72" t="s" s="156">
        <v>80</v>
      </c>
      <c r="Q72" t="s" s="136">
        <v>80</v>
      </c>
      <c r="R72" t="s" s="136">
        <v>80</v>
      </c>
      <c r="S72" t="s" s="136">
        <v>80</v>
      </c>
      <c r="T72" s="149"/>
      <c r="U72" t="s" s="136">
        <v>80</v>
      </c>
      <c r="V72" s="141"/>
      <c r="W72" s="142">
        <f>IF(V72="",SUM(Z72:AE72),IF(C72="PA",E72,100%))</f>
        <v>0.95</v>
      </c>
      <c r="X72" s="143"/>
      <c r="Y72" s="144"/>
      <c r="Z72" s="145">
        <f>IF(P72="x",25%,0)</f>
        <v>0.25</v>
      </c>
      <c r="AA72" s="145">
        <f>IF(Q72="x",10%,0)</f>
        <v>0.1</v>
      </c>
      <c r="AB72" s="145">
        <f>IF(R72="x",40%,0)</f>
        <v>0.4</v>
      </c>
      <c r="AC72" s="145">
        <f>IF(S72="x",15%,0)</f>
        <v>0.15</v>
      </c>
      <c r="AD72" s="145">
        <f>IF(T72="x",5%,0)</f>
        <v>0</v>
      </c>
      <c r="AE72" s="145">
        <f>IF(U72="x",5%,0)</f>
        <v>0.05</v>
      </c>
    </row>
    <row r="73" s="90" customFormat="1" ht="33" customHeight="1">
      <c r="A73" s="133"/>
      <c r="C73" s="170"/>
      <c r="D73" s="132"/>
      <c r="E73" s="132"/>
      <c r="F73" s="171"/>
      <c r="G73" s="132"/>
      <c r="H73" s="172"/>
      <c r="I73" t="s" s="135">
        <f>IF(ISBLANK(C73),"",IF(L73="L","Baixa",IF(L73="A","Média",IF(L73="","","Alta"))))</f>
      </c>
      <c r="J73" t="s" s="136">
        <f>CONCATENATE(C73,L73)</f>
      </c>
      <c r="K73" t="s" s="136">
        <f>IF(ISBLANK(C73),"",IF(C73="ALI",IF(L73="L",7,IF(L73="A",10,15)),IF(C73="AIE",IF(L73="L",5,IF(L73="A",7,10)),IF(C73="SE",IF(L73="L",4,IF(L73="A",5,7)),IF(OR(C73="EE",C73="CE"),IF(L73="L",3,IF(L73="A",4,6)),0)))))</f>
      </c>
      <c r="L73" t="s" s="137">
        <f>IF(OR(ISBLANK(E73),ISBLANK(G73)),IF(OR(C73="ALI",C73="AIE"),"L",IF(OR(C73="EE",C73="SE",C73="CE"),"A","")),IF(C73="EE",IF(G73&gt;=3,IF(E73&gt;=5,"H","A"),IF(G73&gt;=2,IF(E73&gt;=16,"H",IF(E73&lt;=4,"L","A")),IF(E73&lt;=15,"L","A"))),IF(OR(C73="SE",C73="CE"),IF(G73&gt;=4,IF(E73&gt;=6,"H","A"),IF(G73&gt;=2,IF(E73&gt;=20,"H",IF(E73&lt;=5,"L","A")),IF(E73&lt;=19,"L","A"))),IF(OR(C73="ALI",C73="AIE"),IF(G73&gt;=6,IF(E73&gt;=20,"H","A"),IF(G73&gt;=2,IF(E73&gt;=51,"H",IF(E73&lt;=19,"L","A")),IF(E73&lt;=50,"L","A"))),""))))</f>
      </c>
      <c r="M73" t="s" s="136">
        <f>CONCATENATE(C73,D73)</f>
      </c>
      <c r="N73" t="s" s="136">
        <f>IF(OR(K73="",K73=0),O73,K73)</f>
      </c>
      <c r="O73" t="s" s="138">
        <f>_xlfn.IFERROR(IF(NOT(ISERROR(VLOOKUP(C73,'Deflatores Sisp'!G$42:H$70,2,FALSE))),VLOOKUP(C73,'Deflatores Sisp'!G$42:H$70,2,FALSE),IF(OR(ISBLANK(D73),ISBLANK(C73)),"",VLOOKUP(D73,'Deflatores Sisp'!G$4:H$38,2,FALSE)*K73+VLOOKUP(D73,'Deflatores Sisp'!G$4:I$38,3,FALSE)))*W73,"")</f>
      </c>
      <c r="P73" t="s" s="156">
        <v>80</v>
      </c>
      <c r="Q73" t="s" s="136">
        <v>80</v>
      </c>
      <c r="R73" t="s" s="136">
        <v>80</v>
      </c>
      <c r="S73" t="s" s="136">
        <v>80</v>
      </c>
      <c r="T73" s="149"/>
      <c r="U73" t="s" s="136">
        <v>80</v>
      </c>
      <c r="V73" s="141"/>
      <c r="W73" s="142">
        <f>IF(V73="",SUM(Z73:AE73),IF(C73="PA",E73,100%))</f>
        <v>0.95</v>
      </c>
      <c r="X73" s="143"/>
      <c r="Y73" s="144"/>
      <c r="Z73" s="145">
        <f>IF(P73="x",25%,0)</f>
        <v>0.25</v>
      </c>
      <c r="AA73" s="145">
        <f>IF(Q73="x",10%,0)</f>
        <v>0.1</v>
      </c>
      <c r="AB73" s="145">
        <f>IF(R73="x",40%,0)</f>
        <v>0.4</v>
      </c>
      <c r="AC73" s="145">
        <f>IF(S73="x",15%,0)</f>
        <v>0.15</v>
      </c>
      <c r="AD73" s="145">
        <f>IF(T73="x",5%,0)</f>
        <v>0</v>
      </c>
      <c r="AE73" s="145">
        <f>IF(U73="x",5%,0)</f>
        <v>0.05</v>
      </c>
    </row>
    <row r="74" s="90" customFormat="1" ht="33" customHeight="1">
      <c r="A74" s="133"/>
      <c r="C74" s="170"/>
      <c r="D74" s="132"/>
      <c r="E74" s="132"/>
      <c r="F74" s="171"/>
      <c r="G74" s="132"/>
      <c r="H74" s="172"/>
      <c r="I74" t="s" s="135">
        <f>IF(ISBLANK(C74),"",IF(L74="L","Baixa",IF(L74="A","Média",IF(L74="","","Alta"))))</f>
      </c>
      <c r="J74" t="s" s="136">
        <f>CONCATENATE(C74,L74)</f>
      </c>
      <c r="K74" t="s" s="136">
        <f>IF(ISBLANK(C74),"",IF(C74="ALI",IF(L74="L",7,IF(L74="A",10,15)),IF(C74="AIE",IF(L74="L",5,IF(L74="A",7,10)),IF(C74="SE",IF(L74="L",4,IF(L74="A",5,7)),IF(OR(C74="EE",C74="CE"),IF(L74="L",3,IF(L74="A",4,6)),0)))))</f>
      </c>
      <c r="L74" t="s" s="137">
        <f>IF(OR(ISBLANK(E74),ISBLANK(G74)),IF(OR(C74="ALI",C74="AIE"),"L",IF(OR(C74="EE",C74="SE",C74="CE"),"A","")),IF(C74="EE",IF(G74&gt;=3,IF(E74&gt;=5,"H","A"),IF(G74&gt;=2,IF(E74&gt;=16,"H",IF(E74&lt;=4,"L","A")),IF(E74&lt;=15,"L","A"))),IF(OR(C74="SE",C74="CE"),IF(G74&gt;=4,IF(E74&gt;=6,"H","A"),IF(G74&gt;=2,IF(E74&gt;=20,"H",IF(E74&lt;=5,"L","A")),IF(E74&lt;=19,"L","A"))),IF(OR(C74="ALI",C74="AIE"),IF(G74&gt;=6,IF(E74&gt;=20,"H","A"),IF(G74&gt;=2,IF(E74&gt;=51,"H",IF(E74&lt;=19,"L","A")),IF(E74&lt;=50,"L","A"))),""))))</f>
      </c>
      <c r="M74" t="s" s="136">
        <f>CONCATENATE(C74,D74)</f>
      </c>
      <c r="N74" t="s" s="136">
        <f>IF(OR(K74="",K74=0),O74,K74)</f>
      </c>
      <c r="O74" t="s" s="138">
        <f>_xlfn.IFERROR(IF(NOT(ISERROR(VLOOKUP(C74,'Deflatores Sisp'!G$42:H$70,2,FALSE))),VLOOKUP(C74,'Deflatores Sisp'!G$42:H$70,2,FALSE),IF(OR(ISBLANK(D74),ISBLANK(C74)),"",VLOOKUP(D74,'Deflatores Sisp'!G$4:H$38,2,FALSE)*K74+VLOOKUP(D74,'Deflatores Sisp'!G$4:I$38,3,FALSE)))*W74,"")</f>
      </c>
      <c r="P74" t="s" s="156">
        <v>80</v>
      </c>
      <c r="Q74" t="s" s="136">
        <v>80</v>
      </c>
      <c r="R74" t="s" s="136">
        <v>80</v>
      </c>
      <c r="S74" t="s" s="136">
        <v>80</v>
      </c>
      <c r="T74" s="149"/>
      <c r="U74" t="s" s="136">
        <v>80</v>
      </c>
      <c r="V74" s="141"/>
      <c r="W74" s="142">
        <f>IF(V74="",SUM(Z74:AE74),IF(C74="PA",E74,100%))</f>
        <v>0.95</v>
      </c>
      <c r="X74" s="143"/>
      <c r="Y74" s="144"/>
      <c r="Z74" s="145">
        <f>IF(P74="x",25%,0)</f>
        <v>0.25</v>
      </c>
      <c r="AA74" s="145">
        <f>IF(Q74="x",10%,0)</f>
        <v>0.1</v>
      </c>
      <c r="AB74" s="145">
        <f>IF(R74="x",40%,0)</f>
        <v>0.4</v>
      </c>
      <c r="AC74" s="145">
        <f>IF(S74="x",15%,0)</f>
        <v>0.15</v>
      </c>
      <c r="AD74" s="145">
        <f>IF(T74="x",5%,0)</f>
        <v>0</v>
      </c>
      <c r="AE74" s="145">
        <f>IF(U74="x",5%,0)</f>
        <v>0.05</v>
      </c>
    </row>
    <row r="75" s="90" customFormat="1" ht="33" customHeight="1">
      <c r="A75" s="133"/>
      <c r="C75" s="170"/>
      <c r="D75" s="132"/>
      <c r="E75" s="132"/>
      <c r="F75" s="171"/>
      <c r="G75" s="132"/>
      <c r="H75" s="172"/>
      <c r="I75" t="s" s="135">
        <f>IF(ISBLANK(C75),"",IF(L75="L","Baixa",IF(L75="A","Média",IF(L75="","","Alta"))))</f>
      </c>
      <c r="J75" t="s" s="136">
        <f>CONCATENATE(C75,L75)</f>
      </c>
      <c r="K75" t="s" s="136">
        <f>IF(ISBLANK(C75),"",IF(C75="ALI",IF(L75="L",7,IF(L75="A",10,15)),IF(C75="AIE",IF(L75="L",5,IF(L75="A",7,10)),IF(C75="SE",IF(L75="L",4,IF(L75="A",5,7)),IF(OR(C75="EE",C75="CE"),IF(L75="L",3,IF(L75="A",4,6)),0)))))</f>
      </c>
      <c r="L75" t="s" s="137">
        <f>IF(OR(ISBLANK(E75),ISBLANK(G75)),IF(OR(C75="ALI",C75="AIE"),"L",IF(OR(C75="EE",C75="SE",C75="CE"),"A","")),IF(C75="EE",IF(G75&gt;=3,IF(E75&gt;=5,"H","A"),IF(G75&gt;=2,IF(E75&gt;=16,"H",IF(E75&lt;=4,"L","A")),IF(E75&lt;=15,"L","A"))),IF(OR(C75="SE",C75="CE"),IF(G75&gt;=4,IF(E75&gt;=6,"H","A"),IF(G75&gt;=2,IF(E75&gt;=20,"H",IF(E75&lt;=5,"L","A")),IF(E75&lt;=19,"L","A"))),IF(OR(C75="ALI",C75="AIE"),IF(G75&gt;=6,IF(E75&gt;=20,"H","A"),IF(G75&gt;=2,IF(E75&gt;=51,"H",IF(E75&lt;=19,"L","A")),IF(E75&lt;=50,"L","A"))),""))))</f>
      </c>
      <c r="M75" t="s" s="136">
        <f>CONCATENATE(C75,D75)</f>
      </c>
      <c r="N75" t="s" s="136">
        <f>IF(OR(K75="",K75=0),O75,K75)</f>
      </c>
      <c r="O75" t="s" s="138">
        <f>_xlfn.IFERROR(IF(NOT(ISERROR(VLOOKUP(C75,'Deflatores Sisp'!G$42:H$70,2,FALSE))),VLOOKUP(C75,'Deflatores Sisp'!G$42:H$70,2,FALSE),IF(OR(ISBLANK(D75),ISBLANK(C75)),"",VLOOKUP(D75,'Deflatores Sisp'!G$4:H$38,2,FALSE)*K75+VLOOKUP(D75,'Deflatores Sisp'!G$4:I$38,3,FALSE)))*W75,"")</f>
      </c>
      <c r="P75" t="s" s="156">
        <v>80</v>
      </c>
      <c r="Q75" t="s" s="136">
        <v>80</v>
      </c>
      <c r="R75" t="s" s="136">
        <v>80</v>
      </c>
      <c r="S75" t="s" s="136">
        <v>80</v>
      </c>
      <c r="T75" s="149"/>
      <c r="U75" t="s" s="136">
        <v>80</v>
      </c>
      <c r="V75" s="141"/>
      <c r="W75" s="142">
        <f>IF(V75="",SUM(Z75:AE75),IF(C75="PA",E75,100%))</f>
        <v>0.95</v>
      </c>
      <c r="X75" s="143"/>
      <c r="Y75" s="144"/>
      <c r="Z75" s="145">
        <f>IF(P75="x",25%,0)</f>
        <v>0.25</v>
      </c>
      <c r="AA75" s="145">
        <f>IF(Q75="x",10%,0)</f>
        <v>0.1</v>
      </c>
      <c r="AB75" s="145">
        <f>IF(R75="x",40%,0)</f>
        <v>0.4</v>
      </c>
      <c r="AC75" s="145">
        <f>IF(S75="x",15%,0)</f>
        <v>0.15</v>
      </c>
      <c r="AD75" s="145">
        <f>IF(T75="x",5%,0)</f>
        <v>0</v>
      </c>
      <c r="AE75" s="145">
        <f>IF(U75="x",5%,0)</f>
        <v>0.05</v>
      </c>
    </row>
    <row r="76" s="90" customFormat="1" ht="33" customHeight="1">
      <c r="A76" s="133"/>
      <c r="C76" s="170"/>
      <c r="D76" s="132"/>
      <c r="E76" s="132"/>
      <c r="F76" s="171"/>
      <c r="G76" s="132"/>
      <c r="H76" s="172"/>
      <c r="I76" t="s" s="135">
        <f>IF(ISBLANK(C76),"",IF(L76="L","Baixa",IF(L76="A","Média",IF(L76="","","Alta"))))</f>
      </c>
      <c r="J76" t="s" s="136">
        <f>CONCATENATE(C76,L76)</f>
      </c>
      <c r="K76" t="s" s="136">
        <f>IF(ISBLANK(C76),"",IF(C76="ALI",IF(L76="L",7,IF(L76="A",10,15)),IF(C76="AIE",IF(L76="L",5,IF(L76="A",7,10)),IF(C76="SE",IF(L76="L",4,IF(L76="A",5,7)),IF(OR(C76="EE",C76="CE"),IF(L76="L",3,IF(L76="A",4,6)),0)))))</f>
      </c>
      <c r="L76" t="s" s="137">
        <f>IF(OR(ISBLANK(E76),ISBLANK(G76)),IF(OR(C76="ALI",C76="AIE"),"L",IF(OR(C76="EE",C76="SE",C76="CE"),"A","")),IF(C76="EE",IF(G76&gt;=3,IF(E76&gt;=5,"H","A"),IF(G76&gt;=2,IF(E76&gt;=16,"H",IF(E76&lt;=4,"L","A")),IF(E76&lt;=15,"L","A"))),IF(OR(C76="SE",C76="CE"),IF(G76&gt;=4,IF(E76&gt;=6,"H","A"),IF(G76&gt;=2,IF(E76&gt;=20,"H",IF(E76&lt;=5,"L","A")),IF(E76&lt;=19,"L","A"))),IF(OR(C76="ALI",C76="AIE"),IF(G76&gt;=6,IF(E76&gt;=20,"H","A"),IF(G76&gt;=2,IF(E76&gt;=51,"H",IF(E76&lt;=19,"L","A")),IF(E76&lt;=50,"L","A"))),""))))</f>
      </c>
      <c r="M76" t="s" s="136">
        <f>CONCATENATE(C76,D76)</f>
      </c>
      <c r="N76" t="s" s="136">
        <f>IF(OR(K76="",K76=0),O76,K76)</f>
      </c>
      <c r="O76" t="s" s="138">
        <f>_xlfn.IFERROR(IF(NOT(ISERROR(VLOOKUP(C76,'Deflatores Sisp'!G$42:H$70,2,FALSE))),VLOOKUP(C76,'Deflatores Sisp'!G$42:H$70,2,FALSE),IF(OR(ISBLANK(D76),ISBLANK(C76)),"",VLOOKUP(D76,'Deflatores Sisp'!G$4:H$38,2,FALSE)*K76+VLOOKUP(D76,'Deflatores Sisp'!G$4:I$38,3,FALSE)))*W76,"")</f>
      </c>
      <c r="P76" t="s" s="156">
        <v>80</v>
      </c>
      <c r="Q76" t="s" s="136">
        <v>80</v>
      </c>
      <c r="R76" t="s" s="136">
        <v>80</v>
      </c>
      <c r="S76" t="s" s="136">
        <v>80</v>
      </c>
      <c r="T76" s="149"/>
      <c r="U76" t="s" s="136">
        <v>80</v>
      </c>
      <c r="V76" s="141"/>
      <c r="W76" s="142">
        <f>IF(V76="",SUM(Z76:AE76),IF(C76="PA",E76,100%))</f>
        <v>0.95</v>
      </c>
      <c r="X76" s="143"/>
      <c r="Y76" s="144"/>
      <c r="Z76" s="145">
        <f>IF(P76="x",25%,0)</f>
        <v>0.25</v>
      </c>
      <c r="AA76" s="145">
        <f>IF(Q76="x",10%,0)</f>
        <v>0.1</v>
      </c>
      <c r="AB76" s="145">
        <f>IF(R76="x",40%,0)</f>
        <v>0.4</v>
      </c>
      <c r="AC76" s="145">
        <f>IF(S76="x",15%,0)</f>
        <v>0.15</v>
      </c>
      <c r="AD76" s="145">
        <f>IF(T76="x",5%,0)</f>
        <v>0</v>
      </c>
      <c r="AE76" s="145">
        <f>IF(U76="x",5%,0)</f>
        <v>0.05</v>
      </c>
    </row>
    <row r="77" s="90" customFormat="1" ht="33" customHeight="1">
      <c r="A77" s="133"/>
      <c r="C77" s="170"/>
      <c r="D77" s="132"/>
      <c r="E77" s="132"/>
      <c r="F77" s="171"/>
      <c r="G77" s="132"/>
      <c r="H77" s="172"/>
      <c r="I77" t="s" s="135">
        <f>IF(ISBLANK(C77),"",IF(L77="L","Baixa",IF(L77="A","Média",IF(L77="","","Alta"))))</f>
      </c>
      <c r="J77" t="s" s="136">
        <f>CONCATENATE(C77,L77)</f>
      </c>
      <c r="K77" t="s" s="136">
        <f>IF(ISBLANK(C77),"",IF(C77="ALI",IF(L77="L",7,IF(L77="A",10,15)),IF(C77="AIE",IF(L77="L",5,IF(L77="A",7,10)),IF(C77="SE",IF(L77="L",4,IF(L77="A",5,7)),IF(OR(C77="EE",C77="CE"),IF(L77="L",3,IF(L77="A",4,6)),0)))))</f>
      </c>
      <c r="L77" t="s" s="137">
        <f>IF(OR(ISBLANK(E77),ISBLANK(G77)),IF(OR(C77="ALI",C77="AIE"),"L",IF(OR(C77="EE",C77="SE",C77="CE"),"A","")),IF(C77="EE",IF(G77&gt;=3,IF(E77&gt;=5,"H","A"),IF(G77&gt;=2,IF(E77&gt;=16,"H",IF(E77&lt;=4,"L","A")),IF(E77&lt;=15,"L","A"))),IF(OR(C77="SE",C77="CE"),IF(G77&gt;=4,IF(E77&gt;=6,"H","A"),IF(G77&gt;=2,IF(E77&gt;=20,"H",IF(E77&lt;=5,"L","A")),IF(E77&lt;=19,"L","A"))),IF(OR(C77="ALI",C77="AIE"),IF(G77&gt;=6,IF(E77&gt;=20,"H","A"),IF(G77&gt;=2,IF(E77&gt;=51,"H",IF(E77&lt;=19,"L","A")),IF(E77&lt;=50,"L","A"))),""))))</f>
      </c>
      <c r="M77" t="s" s="136">
        <f>CONCATENATE(C77,D77)</f>
      </c>
      <c r="N77" t="s" s="136">
        <f>IF(OR(K77="",K77=0),O77,K77)</f>
      </c>
      <c r="O77" t="s" s="138">
        <f>_xlfn.IFERROR(IF(NOT(ISERROR(VLOOKUP(C77,'Deflatores Sisp'!G$42:H$70,2,FALSE))),VLOOKUP(C77,'Deflatores Sisp'!G$42:H$70,2,FALSE),IF(OR(ISBLANK(D77),ISBLANK(C77)),"",VLOOKUP(D77,'Deflatores Sisp'!G$4:H$38,2,FALSE)*K77+VLOOKUP(D77,'Deflatores Sisp'!G$4:I$38,3,FALSE)))*W77,"")</f>
      </c>
      <c r="P77" t="s" s="156">
        <v>80</v>
      </c>
      <c r="Q77" t="s" s="136">
        <v>80</v>
      </c>
      <c r="R77" t="s" s="136">
        <v>80</v>
      </c>
      <c r="S77" t="s" s="136">
        <v>80</v>
      </c>
      <c r="T77" s="149"/>
      <c r="U77" t="s" s="136">
        <v>80</v>
      </c>
      <c r="V77" s="141"/>
      <c r="W77" s="142">
        <f>IF(V77="",SUM(Z77:AE77),IF(C77="PA",E77,100%))</f>
        <v>0.95</v>
      </c>
      <c r="X77" s="143"/>
      <c r="Y77" s="144"/>
      <c r="Z77" s="145">
        <f>IF(P77="x",25%,0)</f>
        <v>0.25</v>
      </c>
      <c r="AA77" s="145">
        <f>IF(Q77="x",10%,0)</f>
        <v>0.1</v>
      </c>
      <c r="AB77" s="145">
        <f>IF(R77="x",40%,0)</f>
        <v>0.4</v>
      </c>
      <c r="AC77" s="145">
        <f>IF(S77="x",15%,0)</f>
        <v>0.15</v>
      </c>
      <c r="AD77" s="145">
        <f>IF(T77="x",5%,0)</f>
        <v>0</v>
      </c>
      <c r="AE77" s="145">
        <f>IF(U77="x",5%,0)</f>
        <v>0.05</v>
      </c>
    </row>
    <row r="78" s="90" customFormat="1" ht="33" customHeight="1">
      <c r="A78" s="133"/>
      <c r="C78" s="170"/>
      <c r="D78" s="132"/>
      <c r="E78" s="132"/>
      <c r="F78" s="171"/>
      <c r="G78" s="132"/>
      <c r="H78" s="172"/>
      <c r="I78" t="s" s="135">
        <f>IF(ISBLANK(C78),"",IF(L78="L","Baixa",IF(L78="A","Média",IF(L78="","","Alta"))))</f>
      </c>
      <c r="J78" t="s" s="136">
        <f>CONCATENATE(C78,L78)</f>
      </c>
      <c r="K78" t="s" s="136">
        <f>IF(ISBLANK(C78),"",IF(C78="ALI",IF(L78="L",7,IF(L78="A",10,15)),IF(C78="AIE",IF(L78="L",5,IF(L78="A",7,10)),IF(C78="SE",IF(L78="L",4,IF(L78="A",5,7)),IF(OR(C78="EE",C78="CE"),IF(L78="L",3,IF(L78="A",4,6)),0)))))</f>
      </c>
      <c r="L78" t="s" s="137">
        <f>IF(OR(ISBLANK(E78),ISBLANK(G78)),IF(OR(C78="ALI",C78="AIE"),"L",IF(OR(C78="EE",C78="SE",C78="CE"),"A","")),IF(C78="EE",IF(G78&gt;=3,IF(E78&gt;=5,"H","A"),IF(G78&gt;=2,IF(E78&gt;=16,"H",IF(E78&lt;=4,"L","A")),IF(E78&lt;=15,"L","A"))),IF(OR(C78="SE",C78="CE"),IF(G78&gt;=4,IF(E78&gt;=6,"H","A"),IF(G78&gt;=2,IF(E78&gt;=20,"H",IF(E78&lt;=5,"L","A")),IF(E78&lt;=19,"L","A"))),IF(OR(C78="ALI",C78="AIE"),IF(G78&gt;=6,IF(E78&gt;=20,"H","A"),IF(G78&gt;=2,IF(E78&gt;=51,"H",IF(E78&lt;=19,"L","A")),IF(E78&lt;=50,"L","A"))),""))))</f>
      </c>
      <c r="M78" t="s" s="136">
        <f>CONCATENATE(C78,D78)</f>
      </c>
      <c r="N78" t="s" s="136">
        <f>IF(OR(K78="",K78=0),O78,K78)</f>
      </c>
      <c r="O78" t="s" s="138">
        <f>_xlfn.IFERROR(IF(NOT(ISERROR(VLOOKUP(C78,'Deflatores Sisp'!G$42:H$70,2,FALSE))),VLOOKUP(C78,'Deflatores Sisp'!G$42:H$70,2,FALSE),IF(OR(ISBLANK(D78),ISBLANK(C78)),"",VLOOKUP(D78,'Deflatores Sisp'!G$4:H$38,2,FALSE)*K78+VLOOKUP(D78,'Deflatores Sisp'!G$4:I$38,3,FALSE)))*W78,"")</f>
      </c>
      <c r="P78" t="s" s="156">
        <v>80</v>
      </c>
      <c r="Q78" t="s" s="136">
        <v>80</v>
      </c>
      <c r="R78" t="s" s="136">
        <v>80</v>
      </c>
      <c r="S78" t="s" s="136">
        <v>80</v>
      </c>
      <c r="T78" s="149"/>
      <c r="U78" t="s" s="136">
        <v>80</v>
      </c>
      <c r="V78" s="141"/>
      <c r="W78" s="142">
        <f>IF(V78="",SUM(Z78:AE78),IF(C78="PA",E78,100%))</f>
        <v>0.95</v>
      </c>
      <c r="X78" s="143"/>
      <c r="Y78" s="144"/>
      <c r="Z78" s="145">
        <f>IF(P78="x",25%,0)</f>
        <v>0.25</v>
      </c>
      <c r="AA78" s="145">
        <f>IF(Q78="x",10%,0)</f>
        <v>0.1</v>
      </c>
      <c r="AB78" s="145">
        <f>IF(R78="x",40%,0)</f>
        <v>0.4</v>
      </c>
      <c r="AC78" s="145">
        <f>IF(S78="x",15%,0)</f>
        <v>0.15</v>
      </c>
      <c r="AD78" s="145">
        <f>IF(T78="x",5%,0)</f>
        <v>0</v>
      </c>
      <c r="AE78" s="145">
        <f>IF(U78="x",5%,0)</f>
        <v>0.05</v>
      </c>
    </row>
    <row r="79" s="90" customFormat="1" ht="33" customHeight="1">
      <c r="A79" s="133"/>
      <c r="C79" s="170"/>
      <c r="D79" s="132"/>
      <c r="E79" s="132"/>
      <c r="F79" s="171"/>
      <c r="G79" s="132"/>
      <c r="H79" s="172"/>
      <c r="I79" t="s" s="135">
        <f>IF(ISBLANK(C79),"",IF(L79="L","Baixa",IF(L79="A","Média",IF(L79="","","Alta"))))</f>
      </c>
      <c r="J79" t="s" s="136">
        <f>CONCATENATE(C79,L79)</f>
      </c>
      <c r="K79" t="s" s="136">
        <f>IF(ISBLANK(C79),"",IF(C79="ALI",IF(L79="L",7,IF(L79="A",10,15)),IF(C79="AIE",IF(L79="L",5,IF(L79="A",7,10)),IF(C79="SE",IF(L79="L",4,IF(L79="A",5,7)),IF(OR(C79="EE",C79="CE"),IF(L79="L",3,IF(L79="A",4,6)),0)))))</f>
      </c>
      <c r="L79" t="s" s="137">
        <f>IF(OR(ISBLANK(E79),ISBLANK(G79)),IF(OR(C79="ALI",C79="AIE"),"L",IF(OR(C79="EE",C79="SE",C79="CE"),"A","")),IF(C79="EE",IF(G79&gt;=3,IF(E79&gt;=5,"H","A"),IF(G79&gt;=2,IF(E79&gt;=16,"H",IF(E79&lt;=4,"L","A")),IF(E79&lt;=15,"L","A"))),IF(OR(C79="SE",C79="CE"),IF(G79&gt;=4,IF(E79&gt;=6,"H","A"),IF(G79&gt;=2,IF(E79&gt;=20,"H",IF(E79&lt;=5,"L","A")),IF(E79&lt;=19,"L","A"))),IF(OR(C79="ALI",C79="AIE"),IF(G79&gt;=6,IF(E79&gt;=20,"H","A"),IF(G79&gt;=2,IF(E79&gt;=51,"H",IF(E79&lt;=19,"L","A")),IF(E79&lt;=50,"L","A"))),""))))</f>
      </c>
      <c r="M79" t="s" s="136">
        <f>CONCATENATE(C79,D79)</f>
      </c>
      <c r="N79" t="s" s="136">
        <f>IF(OR(K79="",K79=0),O79,K79)</f>
      </c>
      <c r="O79" t="s" s="138">
        <f>_xlfn.IFERROR(IF(NOT(ISERROR(VLOOKUP(C79,'Deflatores Sisp'!G$42:H$70,2,FALSE))),VLOOKUP(C79,'Deflatores Sisp'!G$42:H$70,2,FALSE),IF(OR(ISBLANK(D79),ISBLANK(C79)),"",VLOOKUP(D79,'Deflatores Sisp'!G$4:H$38,2,FALSE)*K79+VLOOKUP(D79,'Deflatores Sisp'!G$4:I$38,3,FALSE)))*W79,"")</f>
      </c>
      <c r="P79" t="s" s="156">
        <v>80</v>
      </c>
      <c r="Q79" t="s" s="136">
        <v>80</v>
      </c>
      <c r="R79" t="s" s="136">
        <v>80</v>
      </c>
      <c r="S79" t="s" s="136">
        <v>80</v>
      </c>
      <c r="T79" s="149"/>
      <c r="U79" t="s" s="136">
        <v>80</v>
      </c>
      <c r="V79" s="141"/>
      <c r="W79" s="142">
        <f>IF(V79="",SUM(Z79:AE79),IF(C79="PA",E79,100%))</f>
        <v>0.95</v>
      </c>
      <c r="X79" s="143"/>
      <c r="Y79" s="144"/>
      <c r="Z79" s="145">
        <f>IF(P79="x",25%,0)</f>
        <v>0.25</v>
      </c>
      <c r="AA79" s="145">
        <f>IF(Q79="x",10%,0)</f>
        <v>0.1</v>
      </c>
      <c r="AB79" s="145">
        <f>IF(R79="x",40%,0)</f>
        <v>0.4</v>
      </c>
      <c r="AC79" s="145">
        <f>IF(S79="x",15%,0)</f>
        <v>0.15</v>
      </c>
      <c r="AD79" s="145">
        <f>IF(T79="x",5%,0)</f>
        <v>0</v>
      </c>
      <c r="AE79" s="145">
        <f>IF(U79="x",5%,0)</f>
        <v>0.05</v>
      </c>
    </row>
    <row r="80" s="90" customFormat="1" ht="33" customHeight="1">
      <c r="A80" s="133"/>
      <c r="C80" s="170"/>
      <c r="D80" s="132"/>
      <c r="E80" s="132"/>
      <c r="F80" s="171"/>
      <c r="G80" s="132"/>
      <c r="H80" s="172"/>
      <c r="I80" t="s" s="135">
        <f>IF(ISBLANK(C80),"",IF(L80="L","Baixa",IF(L80="A","Média",IF(L80="","","Alta"))))</f>
      </c>
      <c r="J80" t="s" s="136">
        <f>CONCATENATE(C80,L80)</f>
      </c>
      <c r="K80" t="s" s="136">
        <f>IF(ISBLANK(C80),"",IF(C80="ALI",IF(L80="L",7,IF(L80="A",10,15)),IF(C80="AIE",IF(L80="L",5,IF(L80="A",7,10)),IF(C80="SE",IF(L80="L",4,IF(L80="A",5,7)),IF(OR(C80="EE",C80="CE"),IF(L80="L",3,IF(L80="A",4,6)),0)))))</f>
      </c>
      <c r="L80" t="s" s="137">
        <f>IF(OR(ISBLANK(E80),ISBLANK(G80)),IF(OR(C80="ALI",C80="AIE"),"L",IF(OR(C80="EE",C80="SE",C80="CE"),"A","")),IF(C80="EE",IF(G80&gt;=3,IF(E80&gt;=5,"H","A"),IF(G80&gt;=2,IF(E80&gt;=16,"H",IF(E80&lt;=4,"L","A")),IF(E80&lt;=15,"L","A"))),IF(OR(C80="SE",C80="CE"),IF(G80&gt;=4,IF(E80&gt;=6,"H","A"),IF(G80&gt;=2,IF(E80&gt;=20,"H",IF(E80&lt;=5,"L","A")),IF(E80&lt;=19,"L","A"))),IF(OR(C80="ALI",C80="AIE"),IF(G80&gt;=6,IF(E80&gt;=20,"H","A"),IF(G80&gt;=2,IF(E80&gt;=51,"H",IF(E80&lt;=19,"L","A")),IF(E80&lt;=50,"L","A"))),""))))</f>
      </c>
      <c r="M80" t="s" s="136">
        <f>CONCATENATE(C80,D80)</f>
      </c>
      <c r="N80" t="s" s="136">
        <f>IF(OR(K80="",K80=0),O80,K80)</f>
      </c>
      <c r="O80" t="s" s="138">
        <f>_xlfn.IFERROR(IF(NOT(ISERROR(VLOOKUP(C80,'Deflatores Sisp'!G$42:H$70,2,FALSE))),VLOOKUP(C80,'Deflatores Sisp'!G$42:H$70,2,FALSE),IF(OR(ISBLANK(D80),ISBLANK(C80)),"",VLOOKUP(D80,'Deflatores Sisp'!G$4:H$38,2,FALSE)*K80+VLOOKUP(D80,'Deflatores Sisp'!G$4:I$38,3,FALSE)))*W80,"")</f>
      </c>
      <c r="P80" t="s" s="156">
        <v>80</v>
      </c>
      <c r="Q80" t="s" s="136">
        <v>80</v>
      </c>
      <c r="R80" t="s" s="136">
        <v>80</v>
      </c>
      <c r="S80" t="s" s="136">
        <v>80</v>
      </c>
      <c r="T80" s="149"/>
      <c r="U80" t="s" s="136">
        <v>80</v>
      </c>
      <c r="V80" s="141"/>
      <c r="W80" s="142">
        <f>IF(V80="",SUM(Z80:AE80),IF(C80="PA",E80,100%))</f>
        <v>0.95</v>
      </c>
      <c r="X80" s="143"/>
      <c r="Y80" s="144"/>
      <c r="Z80" s="145">
        <f>IF(P80="x",25%,0)</f>
        <v>0.25</v>
      </c>
      <c r="AA80" s="145">
        <f>IF(Q80="x",10%,0)</f>
        <v>0.1</v>
      </c>
      <c r="AB80" s="145">
        <f>IF(R80="x",40%,0)</f>
        <v>0.4</v>
      </c>
      <c r="AC80" s="145">
        <f>IF(S80="x",15%,0)</f>
        <v>0.15</v>
      </c>
      <c r="AD80" s="145">
        <f>IF(T80="x",5%,0)</f>
        <v>0</v>
      </c>
      <c r="AE80" s="145">
        <f>IF(U80="x",5%,0)</f>
        <v>0.05</v>
      </c>
    </row>
    <row r="81" s="90" customFormat="1" ht="33" customHeight="1">
      <c r="A81" s="133"/>
      <c r="C81" s="170"/>
      <c r="D81" s="132"/>
      <c r="E81" s="132"/>
      <c r="F81" s="171"/>
      <c r="G81" s="132"/>
      <c r="H81" s="172"/>
      <c r="I81" t="s" s="135">
        <f>IF(ISBLANK(C81),"",IF(L81="L","Baixa",IF(L81="A","Média",IF(L81="","","Alta"))))</f>
      </c>
      <c r="J81" t="s" s="136">
        <f>CONCATENATE(C81,L81)</f>
      </c>
      <c r="K81" t="s" s="136">
        <f>IF(ISBLANK(C81),"",IF(C81="ALI",IF(L81="L",7,IF(L81="A",10,15)),IF(C81="AIE",IF(L81="L",5,IF(L81="A",7,10)),IF(C81="SE",IF(L81="L",4,IF(L81="A",5,7)),IF(OR(C81="EE",C81="CE"),IF(L81="L",3,IF(L81="A",4,6)),0)))))</f>
      </c>
      <c r="L81" t="s" s="137">
        <f>IF(OR(ISBLANK(E81),ISBLANK(G81)),IF(OR(C81="ALI",C81="AIE"),"L",IF(OR(C81="EE",C81="SE",C81="CE"),"A","")),IF(C81="EE",IF(G81&gt;=3,IF(E81&gt;=5,"H","A"),IF(G81&gt;=2,IF(E81&gt;=16,"H",IF(E81&lt;=4,"L","A")),IF(E81&lt;=15,"L","A"))),IF(OR(C81="SE",C81="CE"),IF(G81&gt;=4,IF(E81&gt;=6,"H","A"),IF(G81&gt;=2,IF(E81&gt;=20,"H",IF(E81&lt;=5,"L","A")),IF(E81&lt;=19,"L","A"))),IF(OR(C81="ALI",C81="AIE"),IF(G81&gt;=6,IF(E81&gt;=20,"H","A"),IF(G81&gt;=2,IF(E81&gt;=51,"H",IF(E81&lt;=19,"L","A")),IF(E81&lt;=50,"L","A"))),""))))</f>
      </c>
      <c r="M81" t="s" s="136">
        <f>CONCATENATE(C81,D81)</f>
      </c>
      <c r="N81" t="s" s="136">
        <f>IF(OR(K81="",K81=0),O81,K81)</f>
      </c>
      <c r="O81" t="s" s="138">
        <f>_xlfn.IFERROR(IF(NOT(ISERROR(VLOOKUP(C81,'Deflatores Sisp'!G$42:H$70,2,FALSE))),VLOOKUP(C81,'Deflatores Sisp'!G$42:H$70,2,FALSE),IF(OR(ISBLANK(D81),ISBLANK(C81)),"",VLOOKUP(D81,'Deflatores Sisp'!G$4:H$38,2,FALSE)*K81+VLOOKUP(D81,'Deflatores Sisp'!G$4:I$38,3,FALSE)))*W81,"")</f>
      </c>
      <c r="P81" t="s" s="156">
        <v>80</v>
      </c>
      <c r="Q81" t="s" s="136">
        <v>80</v>
      </c>
      <c r="R81" t="s" s="136">
        <v>80</v>
      </c>
      <c r="S81" t="s" s="136">
        <v>80</v>
      </c>
      <c r="T81" s="149"/>
      <c r="U81" t="s" s="136">
        <v>80</v>
      </c>
      <c r="V81" s="141"/>
      <c r="W81" s="142">
        <f>IF(V81="",SUM(Z81:AE81),IF(C81="PA",E81,100%))</f>
        <v>0.95</v>
      </c>
      <c r="X81" s="143"/>
      <c r="Y81" s="144"/>
      <c r="Z81" s="145">
        <f>IF(P81="x",25%,0)</f>
        <v>0.25</v>
      </c>
      <c r="AA81" s="145">
        <f>IF(Q81="x",10%,0)</f>
        <v>0.1</v>
      </c>
      <c r="AB81" s="145">
        <f>IF(R81="x",40%,0)</f>
        <v>0.4</v>
      </c>
      <c r="AC81" s="145">
        <f>IF(S81="x",15%,0)</f>
        <v>0.15</v>
      </c>
      <c r="AD81" s="145">
        <f>IF(T81="x",5%,0)</f>
        <v>0</v>
      </c>
      <c r="AE81" s="145">
        <f>IF(U81="x",5%,0)</f>
        <v>0.05</v>
      </c>
    </row>
    <row r="82" s="90" customFormat="1" ht="33" customHeight="1">
      <c r="A82" s="133"/>
      <c r="C82" s="170"/>
      <c r="D82" s="132"/>
      <c r="E82" s="132"/>
      <c r="F82" s="171"/>
      <c r="G82" s="132"/>
      <c r="H82" s="172"/>
      <c r="I82" t="s" s="135">
        <f>IF(ISBLANK(C82),"",IF(L82="L","Baixa",IF(L82="A","Média",IF(L82="","","Alta"))))</f>
      </c>
      <c r="J82" t="s" s="136">
        <f>CONCATENATE(C82,L82)</f>
      </c>
      <c r="K82" t="s" s="136">
        <f>IF(ISBLANK(C82),"",IF(C82="ALI",IF(L82="L",7,IF(L82="A",10,15)),IF(C82="AIE",IF(L82="L",5,IF(L82="A",7,10)),IF(C82="SE",IF(L82="L",4,IF(L82="A",5,7)),IF(OR(C82="EE",C82="CE"),IF(L82="L",3,IF(L82="A",4,6)),0)))))</f>
      </c>
      <c r="L82" t="s" s="137">
        <f>IF(OR(ISBLANK(E82),ISBLANK(G82)),IF(OR(C82="ALI",C82="AIE"),"L",IF(OR(C82="EE",C82="SE",C82="CE"),"A","")),IF(C82="EE",IF(G82&gt;=3,IF(E82&gt;=5,"H","A"),IF(G82&gt;=2,IF(E82&gt;=16,"H",IF(E82&lt;=4,"L","A")),IF(E82&lt;=15,"L","A"))),IF(OR(C82="SE",C82="CE"),IF(G82&gt;=4,IF(E82&gt;=6,"H","A"),IF(G82&gt;=2,IF(E82&gt;=20,"H",IF(E82&lt;=5,"L","A")),IF(E82&lt;=19,"L","A"))),IF(OR(C82="ALI",C82="AIE"),IF(G82&gt;=6,IF(E82&gt;=20,"H","A"),IF(G82&gt;=2,IF(E82&gt;=51,"H",IF(E82&lt;=19,"L","A")),IF(E82&lt;=50,"L","A"))),""))))</f>
      </c>
      <c r="M82" t="s" s="136">
        <f>CONCATENATE(C82,D82)</f>
      </c>
      <c r="N82" t="s" s="136">
        <f>IF(OR(K82="",K82=0),O82,K82)</f>
      </c>
      <c r="O82" t="s" s="138">
        <f>_xlfn.IFERROR(IF(NOT(ISERROR(VLOOKUP(C82,'Deflatores Sisp'!G$42:H$70,2,FALSE))),VLOOKUP(C82,'Deflatores Sisp'!G$42:H$70,2,FALSE),IF(OR(ISBLANK(D82),ISBLANK(C82)),"",VLOOKUP(D82,'Deflatores Sisp'!G$4:H$38,2,FALSE)*K82+VLOOKUP(D82,'Deflatores Sisp'!G$4:I$38,3,FALSE)))*W82,"")</f>
      </c>
      <c r="P82" t="s" s="156">
        <v>80</v>
      </c>
      <c r="Q82" t="s" s="136">
        <v>80</v>
      </c>
      <c r="R82" t="s" s="136">
        <v>80</v>
      </c>
      <c r="S82" t="s" s="136">
        <v>80</v>
      </c>
      <c r="T82" s="149"/>
      <c r="U82" t="s" s="136">
        <v>80</v>
      </c>
      <c r="V82" s="141"/>
      <c r="W82" s="142">
        <f>IF(V82="",SUM(Z82:AE82),IF(C82="PA",E82,100%))</f>
        <v>0.95</v>
      </c>
      <c r="X82" s="143"/>
      <c r="Y82" s="144"/>
      <c r="Z82" s="145">
        <f>IF(P82="x",25%,0)</f>
        <v>0.25</v>
      </c>
      <c r="AA82" s="145">
        <f>IF(Q82="x",10%,0)</f>
        <v>0.1</v>
      </c>
      <c r="AB82" s="145">
        <f>IF(R82="x",40%,0)</f>
        <v>0.4</v>
      </c>
      <c r="AC82" s="145">
        <f>IF(S82="x",15%,0)</f>
        <v>0.15</v>
      </c>
      <c r="AD82" s="145">
        <f>IF(T82="x",5%,0)</f>
        <v>0</v>
      </c>
      <c r="AE82" s="145">
        <f>IF(U82="x",5%,0)</f>
        <v>0.05</v>
      </c>
    </row>
    <row r="83" s="90" customFormat="1" ht="33" customHeight="1">
      <c r="A83" s="133"/>
      <c r="C83" s="170"/>
      <c r="D83" s="132"/>
      <c r="E83" s="132"/>
      <c r="F83" s="171"/>
      <c r="G83" s="132"/>
      <c r="H83" s="172"/>
      <c r="I83" t="s" s="135">
        <f>IF(ISBLANK(C83),"",IF(L83="L","Baixa",IF(L83="A","Média",IF(L83="","","Alta"))))</f>
      </c>
      <c r="J83" t="s" s="136">
        <f>CONCATENATE(C83,L83)</f>
      </c>
      <c r="K83" t="s" s="136">
        <f>IF(ISBLANK(C83),"",IF(C83="ALI",IF(L83="L",7,IF(L83="A",10,15)),IF(C83="AIE",IF(L83="L",5,IF(L83="A",7,10)),IF(C83="SE",IF(L83="L",4,IF(L83="A",5,7)),IF(OR(C83="EE",C83="CE"),IF(L83="L",3,IF(L83="A",4,6)),0)))))</f>
      </c>
      <c r="L83" t="s" s="137">
        <f>IF(OR(ISBLANK(E83),ISBLANK(G83)),IF(OR(C83="ALI",C83="AIE"),"L",IF(OR(C83="EE",C83="SE",C83="CE"),"A","")),IF(C83="EE",IF(G83&gt;=3,IF(E83&gt;=5,"H","A"),IF(G83&gt;=2,IF(E83&gt;=16,"H",IF(E83&lt;=4,"L","A")),IF(E83&lt;=15,"L","A"))),IF(OR(C83="SE",C83="CE"),IF(G83&gt;=4,IF(E83&gt;=6,"H","A"),IF(G83&gt;=2,IF(E83&gt;=20,"H",IF(E83&lt;=5,"L","A")),IF(E83&lt;=19,"L","A"))),IF(OR(C83="ALI",C83="AIE"),IF(G83&gt;=6,IF(E83&gt;=20,"H","A"),IF(G83&gt;=2,IF(E83&gt;=51,"H",IF(E83&lt;=19,"L","A")),IF(E83&lt;=50,"L","A"))),""))))</f>
      </c>
      <c r="M83" t="s" s="136">
        <f>CONCATENATE(C83,D83)</f>
      </c>
      <c r="N83" t="s" s="136">
        <f>IF(OR(K83="",K83=0),O83,K83)</f>
      </c>
      <c r="O83" t="s" s="138">
        <f>_xlfn.IFERROR(IF(NOT(ISERROR(VLOOKUP(C83,'Deflatores Sisp'!G$42:H$70,2,FALSE))),VLOOKUP(C83,'Deflatores Sisp'!G$42:H$70,2,FALSE),IF(OR(ISBLANK(D83),ISBLANK(C83)),"",VLOOKUP(D83,'Deflatores Sisp'!G$4:H$38,2,FALSE)*K83+VLOOKUP(D83,'Deflatores Sisp'!G$4:I$38,3,FALSE)))*W83,"")</f>
      </c>
      <c r="P83" t="s" s="156">
        <v>80</v>
      </c>
      <c r="Q83" t="s" s="136">
        <v>80</v>
      </c>
      <c r="R83" t="s" s="136">
        <v>80</v>
      </c>
      <c r="S83" t="s" s="136">
        <v>80</v>
      </c>
      <c r="T83" s="149"/>
      <c r="U83" t="s" s="136">
        <v>80</v>
      </c>
      <c r="V83" s="141"/>
      <c r="W83" s="142">
        <f>IF(V83="",SUM(Z83:AE83),IF(C83="PA",E83,100%))</f>
        <v>0.95</v>
      </c>
      <c r="X83" s="143"/>
      <c r="Y83" s="144"/>
      <c r="Z83" s="145">
        <f>IF(P83="x",25%,0)</f>
        <v>0.25</v>
      </c>
      <c r="AA83" s="145">
        <f>IF(Q83="x",10%,0)</f>
        <v>0.1</v>
      </c>
      <c r="AB83" s="145">
        <f>IF(R83="x",40%,0)</f>
        <v>0.4</v>
      </c>
      <c r="AC83" s="145">
        <f>IF(S83="x",15%,0)</f>
        <v>0.15</v>
      </c>
      <c r="AD83" s="145">
        <f>IF(T83="x",5%,0)</f>
        <v>0</v>
      </c>
      <c r="AE83" s="145">
        <f>IF(U83="x",5%,0)</f>
        <v>0.05</v>
      </c>
    </row>
    <row r="84" s="90" customFormat="1" ht="33" customHeight="1">
      <c r="A84" s="133"/>
      <c r="C84" s="170"/>
      <c r="D84" s="132"/>
      <c r="E84" s="132"/>
      <c r="F84" s="171"/>
      <c r="G84" s="132"/>
      <c r="H84" s="172"/>
      <c r="I84" t="s" s="135">
        <f>IF(ISBLANK(C84),"",IF(L84="L","Baixa",IF(L84="A","Média",IF(L84="","","Alta"))))</f>
      </c>
      <c r="J84" t="s" s="136">
        <f>CONCATENATE(C84,L84)</f>
      </c>
      <c r="K84" t="s" s="136">
        <f>IF(ISBLANK(C84),"",IF(C84="ALI",IF(L84="L",7,IF(L84="A",10,15)),IF(C84="AIE",IF(L84="L",5,IF(L84="A",7,10)),IF(C84="SE",IF(L84="L",4,IF(L84="A",5,7)),IF(OR(C84="EE",C84="CE"),IF(L84="L",3,IF(L84="A",4,6)),0)))))</f>
      </c>
      <c r="L84" t="s" s="137">
        <f>IF(OR(ISBLANK(E84),ISBLANK(G84)),IF(OR(C84="ALI",C84="AIE"),"L",IF(OR(C84="EE",C84="SE",C84="CE"),"A","")),IF(C84="EE",IF(G84&gt;=3,IF(E84&gt;=5,"H","A"),IF(G84&gt;=2,IF(E84&gt;=16,"H",IF(E84&lt;=4,"L","A")),IF(E84&lt;=15,"L","A"))),IF(OR(C84="SE",C84="CE"),IF(G84&gt;=4,IF(E84&gt;=6,"H","A"),IF(G84&gt;=2,IF(E84&gt;=20,"H",IF(E84&lt;=5,"L","A")),IF(E84&lt;=19,"L","A"))),IF(OR(C84="ALI",C84="AIE"),IF(G84&gt;=6,IF(E84&gt;=20,"H","A"),IF(G84&gt;=2,IF(E84&gt;=51,"H",IF(E84&lt;=19,"L","A")),IF(E84&lt;=50,"L","A"))),""))))</f>
      </c>
      <c r="M84" t="s" s="136">
        <f>CONCATENATE(C84,D84)</f>
      </c>
      <c r="N84" t="s" s="136">
        <f>IF(OR(K84="",K84=0),O84,K84)</f>
      </c>
      <c r="O84" t="s" s="138">
        <f>_xlfn.IFERROR(IF(NOT(ISERROR(VLOOKUP(C84,'Deflatores Sisp'!G$42:H$70,2,FALSE))),VLOOKUP(C84,'Deflatores Sisp'!G$42:H$70,2,FALSE),IF(OR(ISBLANK(D84),ISBLANK(C84)),"",VLOOKUP(D84,'Deflatores Sisp'!G$4:H$38,2,FALSE)*K84+VLOOKUP(D84,'Deflatores Sisp'!G$4:I$38,3,FALSE)))*W84,"")</f>
      </c>
      <c r="P84" t="s" s="156">
        <v>80</v>
      </c>
      <c r="Q84" t="s" s="136">
        <v>80</v>
      </c>
      <c r="R84" t="s" s="136">
        <v>80</v>
      </c>
      <c r="S84" t="s" s="136">
        <v>80</v>
      </c>
      <c r="T84" s="149"/>
      <c r="U84" t="s" s="136">
        <v>80</v>
      </c>
      <c r="V84" s="141"/>
      <c r="W84" s="142">
        <f>IF(V84="",SUM(Z84:AE84),IF(C84="PA",E84,100%))</f>
        <v>0.95</v>
      </c>
      <c r="X84" s="143"/>
      <c r="Y84" s="144"/>
      <c r="Z84" s="145">
        <f>IF(P84="x",25%,0)</f>
        <v>0.25</v>
      </c>
      <c r="AA84" s="145">
        <f>IF(Q84="x",10%,0)</f>
        <v>0.1</v>
      </c>
      <c r="AB84" s="145">
        <f>IF(R84="x",40%,0)</f>
        <v>0.4</v>
      </c>
      <c r="AC84" s="145">
        <f>IF(S84="x",15%,0)</f>
        <v>0.15</v>
      </c>
      <c r="AD84" s="145">
        <f>IF(T84="x",5%,0)</f>
        <v>0</v>
      </c>
      <c r="AE84" s="145">
        <f>IF(U84="x",5%,0)</f>
        <v>0.05</v>
      </c>
    </row>
    <row r="85" s="90" customFormat="1" ht="33" customHeight="1">
      <c r="A85" s="133"/>
      <c r="C85" s="170"/>
      <c r="D85" s="132"/>
      <c r="E85" s="132"/>
      <c r="F85" s="171"/>
      <c r="G85" s="132"/>
      <c r="H85" s="172"/>
      <c r="I85" t="s" s="135">
        <f>IF(ISBLANK(C85),"",IF(L85="L","Baixa",IF(L85="A","Média",IF(L85="","","Alta"))))</f>
      </c>
      <c r="J85" t="s" s="136">
        <f>CONCATENATE(C85,L85)</f>
      </c>
      <c r="K85" t="s" s="136">
        <f>IF(ISBLANK(C85),"",IF(C85="ALI",IF(L85="L",7,IF(L85="A",10,15)),IF(C85="AIE",IF(L85="L",5,IF(L85="A",7,10)),IF(C85="SE",IF(L85="L",4,IF(L85="A",5,7)),IF(OR(C85="EE",C85="CE"),IF(L85="L",3,IF(L85="A",4,6)),0)))))</f>
      </c>
      <c r="L85" t="s" s="137">
        <f>IF(OR(ISBLANK(E85),ISBLANK(G85)),IF(OR(C85="ALI",C85="AIE"),"L",IF(OR(C85="EE",C85="SE",C85="CE"),"A","")),IF(C85="EE",IF(G85&gt;=3,IF(E85&gt;=5,"H","A"),IF(G85&gt;=2,IF(E85&gt;=16,"H",IF(E85&lt;=4,"L","A")),IF(E85&lt;=15,"L","A"))),IF(OR(C85="SE",C85="CE"),IF(G85&gt;=4,IF(E85&gt;=6,"H","A"),IF(G85&gt;=2,IF(E85&gt;=20,"H",IF(E85&lt;=5,"L","A")),IF(E85&lt;=19,"L","A"))),IF(OR(C85="ALI",C85="AIE"),IF(G85&gt;=6,IF(E85&gt;=20,"H","A"),IF(G85&gt;=2,IF(E85&gt;=51,"H",IF(E85&lt;=19,"L","A")),IF(E85&lt;=50,"L","A"))),""))))</f>
      </c>
      <c r="M85" t="s" s="136">
        <f>CONCATENATE(C85,D85)</f>
      </c>
      <c r="N85" t="s" s="136">
        <f>IF(OR(K85="",K85=0),O85,K85)</f>
      </c>
      <c r="O85" t="s" s="138">
        <f>_xlfn.IFERROR(IF(NOT(ISERROR(VLOOKUP(C85,'Deflatores Sisp'!G$42:H$70,2,FALSE))),VLOOKUP(C85,'Deflatores Sisp'!G$42:H$70,2,FALSE),IF(OR(ISBLANK(D85),ISBLANK(C85)),"",VLOOKUP(D85,'Deflatores Sisp'!G$4:H$38,2,FALSE)*K85+VLOOKUP(D85,'Deflatores Sisp'!G$4:I$38,3,FALSE)))*W85,"")</f>
      </c>
      <c r="P85" t="s" s="156">
        <v>80</v>
      </c>
      <c r="Q85" t="s" s="136">
        <v>80</v>
      </c>
      <c r="R85" t="s" s="136">
        <v>80</v>
      </c>
      <c r="S85" t="s" s="136">
        <v>80</v>
      </c>
      <c r="T85" s="149"/>
      <c r="U85" t="s" s="136">
        <v>80</v>
      </c>
      <c r="V85" s="141"/>
      <c r="W85" s="142">
        <f>IF(V85="",SUM(Z85:AE85),IF(C85="PA",E85,100%))</f>
        <v>0.95</v>
      </c>
      <c r="X85" s="143"/>
      <c r="Y85" s="144"/>
      <c r="Z85" s="145">
        <f>IF(P85="x",25%,0)</f>
        <v>0.25</v>
      </c>
      <c r="AA85" s="145">
        <f>IF(Q85="x",10%,0)</f>
        <v>0.1</v>
      </c>
      <c r="AB85" s="145">
        <f>IF(R85="x",40%,0)</f>
        <v>0.4</v>
      </c>
      <c r="AC85" s="145">
        <f>IF(S85="x",15%,0)</f>
        <v>0.15</v>
      </c>
      <c r="AD85" s="145">
        <f>IF(T85="x",5%,0)</f>
        <v>0</v>
      </c>
      <c r="AE85" s="145">
        <f>IF(U85="x",5%,0)</f>
        <v>0.05</v>
      </c>
    </row>
    <row r="86" s="90" customFormat="1" ht="33" customHeight="1">
      <c r="A86" s="133"/>
      <c r="C86" s="170"/>
      <c r="D86" s="132"/>
      <c r="E86" s="132"/>
      <c r="F86" s="171"/>
      <c r="G86" s="132"/>
      <c r="H86" s="172"/>
      <c r="I86" t="s" s="135">
        <f>IF(ISBLANK(C86),"",IF(L86="L","Baixa",IF(L86="A","Média",IF(L86="","","Alta"))))</f>
      </c>
      <c r="J86" t="s" s="136">
        <f>CONCATENATE(C86,L86)</f>
      </c>
      <c r="K86" t="s" s="136">
        <f>IF(ISBLANK(C86),"",IF(C86="ALI",IF(L86="L",7,IF(L86="A",10,15)),IF(C86="AIE",IF(L86="L",5,IF(L86="A",7,10)),IF(C86="SE",IF(L86="L",4,IF(L86="A",5,7)),IF(OR(C86="EE",C86="CE"),IF(L86="L",3,IF(L86="A",4,6)),0)))))</f>
      </c>
      <c r="L86" t="s" s="137">
        <f>IF(OR(ISBLANK(E86),ISBLANK(G86)),IF(OR(C86="ALI",C86="AIE"),"L",IF(OR(C86="EE",C86="SE",C86="CE"),"A","")),IF(C86="EE",IF(G86&gt;=3,IF(E86&gt;=5,"H","A"),IF(G86&gt;=2,IF(E86&gt;=16,"H",IF(E86&lt;=4,"L","A")),IF(E86&lt;=15,"L","A"))),IF(OR(C86="SE",C86="CE"),IF(G86&gt;=4,IF(E86&gt;=6,"H","A"),IF(G86&gt;=2,IF(E86&gt;=20,"H",IF(E86&lt;=5,"L","A")),IF(E86&lt;=19,"L","A"))),IF(OR(C86="ALI",C86="AIE"),IF(G86&gt;=6,IF(E86&gt;=20,"H","A"),IF(G86&gt;=2,IF(E86&gt;=51,"H",IF(E86&lt;=19,"L","A")),IF(E86&lt;=50,"L","A"))),""))))</f>
      </c>
      <c r="M86" t="s" s="136">
        <f>CONCATENATE(C86,D86)</f>
      </c>
      <c r="N86" t="s" s="136">
        <f>IF(OR(K86="",K86=0),O86,K86)</f>
      </c>
      <c r="O86" t="s" s="138">
        <f>_xlfn.IFERROR(IF(NOT(ISERROR(VLOOKUP(C86,'Deflatores Sisp'!G$42:H$70,2,FALSE))),VLOOKUP(C86,'Deflatores Sisp'!G$42:H$70,2,FALSE),IF(OR(ISBLANK(D86),ISBLANK(C86)),"",VLOOKUP(D86,'Deflatores Sisp'!G$4:H$38,2,FALSE)*K86+VLOOKUP(D86,'Deflatores Sisp'!G$4:I$38,3,FALSE)))*W86,"")</f>
      </c>
      <c r="P86" t="s" s="156">
        <v>80</v>
      </c>
      <c r="Q86" t="s" s="136">
        <v>80</v>
      </c>
      <c r="R86" t="s" s="136">
        <v>80</v>
      </c>
      <c r="S86" t="s" s="136">
        <v>80</v>
      </c>
      <c r="T86" s="149"/>
      <c r="U86" t="s" s="136">
        <v>80</v>
      </c>
      <c r="V86" s="141"/>
      <c r="W86" s="142">
        <f>IF(V86="",SUM(Z86:AE86),IF(C86="PA",E86,100%))</f>
        <v>0.95</v>
      </c>
      <c r="X86" s="143"/>
      <c r="Y86" s="144"/>
      <c r="Z86" s="145">
        <f>IF(P86="x",25%,0)</f>
        <v>0.25</v>
      </c>
      <c r="AA86" s="145">
        <f>IF(Q86="x",10%,0)</f>
        <v>0.1</v>
      </c>
      <c r="AB86" s="145">
        <f>IF(R86="x",40%,0)</f>
        <v>0.4</v>
      </c>
      <c r="AC86" s="145">
        <f>IF(S86="x",15%,0)</f>
        <v>0.15</v>
      </c>
      <c r="AD86" s="145">
        <f>IF(T86="x",5%,0)</f>
        <v>0</v>
      </c>
      <c r="AE86" s="145">
        <f>IF(U86="x",5%,0)</f>
        <v>0.05</v>
      </c>
    </row>
    <row r="87" s="90" customFormat="1" ht="33" customHeight="1">
      <c r="A87" s="133"/>
      <c r="C87" s="170"/>
      <c r="D87" s="132"/>
      <c r="E87" s="132"/>
      <c r="F87" s="171"/>
      <c r="G87" s="132"/>
      <c r="H87" s="172"/>
      <c r="I87" t="s" s="135">
        <f>IF(ISBLANK(C87),"",IF(L87="L","Baixa",IF(L87="A","Média",IF(L87="","","Alta"))))</f>
      </c>
      <c r="J87" t="s" s="136">
        <f>CONCATENATE(C87,L87)</f>
      </c>
      <c r="K87" t="s" s="136">
        <f>IF(ISBLANK(C87),"",IF(C87="ALI",IF(L87="L",7,IF(L87="A",10,15)),IF(C87="AIE",IF(L87="L",5,IF(L87="A",7,10)),IF(C87="SE",IF(L87="L",4,IF(L87="A",5,7)),IF(OR(C87="EE",C87="CE"),IF(L87="L",3,IF(L87="A",4,6)),0)))))</f>
      </c>
      <c r="L87" t="s" s="137">
        <f>IF(OR(ISBLANK(E87),ISBLANK(G87)),IF(OR(C87="ALI",C87="AIE"),"L",IF(OR(C87="EE",C87="SE",C87="CE"),"A","")),IF(C87="EE",IF(G87&gt;=3,IF(E87&gt;=5,"H","A"),IF(G87&gt;=2,IF(E87&gt;=16,"H",IF(E87&lt;=4,"L","A")),IF(E87&lt;=15,"L","A"))),IF(OR(C87="SE",C87="CE"),IF(G87&gt;=4,IF(E87&gt;=6,"H","A"),IF(G87&gt;=2,IF(E87&gt;=20,"H",IF(E87&lt;=5,"L","A")),IF(E87&lt;=19,"L","A"))),IF(OR(C87="ALI",C87="AIE"),IF(G87&gt;=6,IF(E87&gt;=20,"H","A"),IF(G87&gt;=2,IF(E87&gt;=51,"H",IF(E87&lt;=19,"L","A")),IF(E87&lt;=50,"L","A"))),""))))</f>
      </c>
      <c r="M87" t="s" s="136">
        <f>CONCATENATE(C87,D87)</f>
      </c>
      <c r="N87" t="s" s="136">
        <f>IF(OR(K87="",K87=0),O87,K87)</f>
      </c>
      <c r="O87" t="s" s="138">
        <f>_xlfn.IFERROR(IF(NOT(ISERROR(VLOOKUP(C87,'Deflatores Sisp'!G$42:H$70,2,FALSE))),VLOOKUP(C87,'Deflatores Sisp'!G$42:H$70,2,FALSE),IF(OR(ISBLANK(D87),ISBLANK(C87)),"",VLOOKUP(D87,'Deflatores Sisp'!G$4:H$38,2,FALSE)*K87+VLOOKUP(D87,'Deflatores Sisp'!G$4:I$38,3,FALSE)))*W87,"")</f>
      </c>
      <c r="P87" t="s" s="156">
        <v>80</v>
      </c>
      <c r="Q87" t="s" s="136">
        <v>80</v>
      </c>
      <c r="R87" t="s" s="136">
        <v>80</v>
      </c>
      <c r="S87" t="s" s="136">
        <v>80</v>
      </c>
      <c r="T87" s="149"/>
      <c r="U87" t="s" s="136">
        <v>80</v>
      </c>
      <c r="V87" s="141"/>
      <c r="W87" s="142">
        <f>IF(V87="",SUM(Z87:AE87),IF(C87="PA",E87,100%))</f>
        <v>0.95</v>
      </c>
      <c r="X87" s="143"/>
      <c r="Y87" s="144"/>
      <c r="Z87" s="145">
        <f>IF(P87="x",25%,0)</f>
        <v>0.25</v>
      </c>
      <c r="AA87" s="145">
        <f>IF(Q87="x",10%,0)</f>
        <v>0.1</v>
      </c>
      <c r="AB87" s="145">
        <f>IF(R87="x",40%,0)</f>
        <v>0.4</v>
      </c>
      <c r="AC87" s="145">
        <f>IF(S87="x",15%,0)</f>
        <v>0.15</v>
      </c>
      <c r="AD87" s="145">
        <f>IF(T87="x",5%,0)</f>
        <v>0</v>
      </c>
      <c r="AE87" s="145">
        <f>IF(U87="x",5%,0)</f>
        <v>0.05</v>
      </c>
    </row>
    <row r="88" s="90" customFormat="1" ht="33" customHeight="1">
      <c r="A88" s="133"/>
      <c r="C88" s="170"/>
      <c r="D88" s="132"/>
      <c r="E88" s="132"/>
      <c r="F88" s="171"/>
      <c r="G88" s="132"/>
      <c r="H88" s="172"/>
      <c r="I88" t="s" s="135">
        <f>IF(ISBLANK(C88),"",IF(L88="L","Baixa",IF(L88="A","Média",IF(L88="","","Alta"))))</f>
      </c>
      <c r="J88" t="s" s="136">
        <f>CONCATENATE(C88,L88)</f>
      </c>
      <c r="K88" t="s" s="136">
        <f>IF(ISBLANK(C88),"",IF(C88="ALI",IF(L88="L",7,IF(L88="A",10,15)),IF(C88="AIE",IF(L88="L",5,IF(L88="A",7,10)),IF(C88="SE",IF(L88="L",4,IF(L88="A",5,7)),IF(OR(C88="EE",C88="CE"),IF(L88="L",3,IF(L88="A",4,6)),0)))))</f>
      </c>
      <c r="L88" t="s" s="137">
        <f>IF(OR(ISBLANK(E88),ISBLANK(G88)),IF(OR(C88="ALI",C88="AIE"),"L",IF(OR(C88="EE",C88="SE",C88="CE"),"A","")),IF(C88="EE",IF(G88&gt;=3,IF(E88&gt;=5,"H","A"),IF(G88&gt;=2,IF(E88&gt;=16,"H",IF(E88&lt;=4,"L","A")),IF(E88&lt;=15,"L","A"))),IF(OR(C88="SE",C88="CE"),IF(G88&gt;=4,IF(E88&gt;=6,"H","A"),IF(G88&gt;=2,IF(E88&gt;=20,"H",IF(E88&lt;=5,"L","A")),IF(E88&lt;=19,"L","A"))),IF(OR(C88="ALI",C88="AIE"),IF(G88&gt;=6,IF(E88&gt;=20,"H","A"),IF(G88&gt;=2,IF(E88&gt;=51,"H",IF(E88&lt;=19,"L","A")),IF(E88&lt;=50,"L","A"))),""))))</f>
      </c>
      <c r="M88" t="s" s="136">
        <f>CONCATENATE(C88,D88)</f>
      </c>
      <c r="N88" t="s" s="136">
        <f>IF(OR(K88="",K88=0),O88,K88)</f>
      </c>
      <c r="O88" t="s" s="138">
        <f>_xlfn.IFERROR(IF(NOT(ISERROR(VLOOKUP(C88,'Deflatores Sisp'!G$42:H$70,2,FALSE))),VLOOKUP(C88,'Deflatores Sisp'!G$42:H$70,2,FALSE),IF(OR(ISBLANK(D88),ISBLANK(C88)),"",VLOOKUP(D88,'Deflatores Sisp'!G$4:H$38,2,FALSE)*K88+VLOOKUP(D88,'Deflatores Sisp'!G$4:I$38,3,FALSE)))*W88,"")</f>
      </c>
      <c r="P88" t="s" s="156">
        <v>80</v>
      </c>
      <c r="Q88" t="s" s="136">
        <v>80</v>
      </c>
      <c r="R88" t="s" s="136">
        <v>80</v>
      </c>
      <c r="S88" t="s" s="136">
        <v>80</v>
      </c>
      <c r="T88" s="149"/>
      <c r="U88" t="s" s="136">
        <v>80</v>
      </c>
      <c r="V88" s="141"/>
      <c r="W88" s="142">
        <f>IF(V88="",SUM(Z88:AE88),IF(C88="PA",E88,100%))</f>
        <v>0.95</v>
      </c>
      <c r="X88" s="143"/>
      <c r="Y88" s="144"/>
      <c r="Z88" s="145">
        <f>IF(P88="x",25%,0)</f>
        <v>0.25</v>
      </c>
      <c r="AA88" s="145">
        <f>IF(Q88="x",10%,0)</f>
        <v>0.1</v>
      </c>
      <c r="AB88" s="145">
        <f>IF(R88="x",40%,0)</f>
        <v>0.4</v>
      </c>
      <c r="AC88" s="145">
        <f>IF(S88="x",15%,0)</f>
        <v>0.15</v>
      </c>
      <c r="AD88" s="145">
        <f>IF(T88="x",5%,0)</f>
        <v>0</v>
      </c>
      <c r="AE88" s="145">
        <f>IF(U88="x",5%,0)</f>
        <v>0.05</v>
      </c>
    </row>
    <row r="89" s="90" customFormat="1" ht="33" customHeight="1">
      <c r="A89" s="133"/>
      <c r="C89" s="170"/>
      <c r="D89" s="132"/>
      <c r="E89" s="132"/>
      <c r="F89" s="171"/>
      <c r="G89" s="132"/>
      <c r="H89" s="172"/>
      <c r="I89" t="s" s="135">
        <f>IF(ISBLANK(C89),"",IF(L89="L","Baixa",IF(L89="A","Média",IF(L89="","","Alta"))))</f>
      </c>
      <c r="J89" t="s" s="136">
        <f>CONCATENATE(C89,L89)</f>
      </c>
      <c r="K89" t="s" s="136">
        <f>IF(ISBLANK(C89),"",IF(C89="ALI",IF(L89="L",7,IF(L89="A",10,15)),IF(C89="AIE",IF(L89="L",5,IF(L89="A",7,10)),IF(C89="SE",IF(L89="L",4,IF(L89="A",5,7)),IF(OR(C89="EE",C89="CE"),IF(L89="L",3,IF(L89="A",4,6)),0)))))</f>
      </c>
      <c r="L89" t="s" s="137">
        <f>IF(OR(ISBLANK(E89),ISBLANK(G89)),IF(OR(C89="ALI",C89="AIE"),"L",IF(OR(C89="EE",C89="SE",C89="CE"),"A","")),IF(C89="EE",IF(G89&gt;=3,IF(E89&gt;=5,"H","A"),IF(G89&gt;=2,IF(E89&gt;=16,"H",IF(E89&lt;=4,"L","A")),IF(E89&lt;=15,"L","A"))),IF(OR(C89="SE",C89="CE"),IF(G89&gt;=4,IF(E89&gt;=6,"H","A"),IF(G89&gt;=2,IF(E89&gt;=20,"H",IF(E89&lt;=5,"L","A")),IF(E89&lt;=19,"L","A"))),IF(OR(C89="ALI",C89="AIE"),IF(G89&gt;=6,IF(E89&gt;=20,"H","A"),IF(G89&gt;=2,IF(E89&gt;=51,"H",IF(E89&lt;=19,"L","A")),IF(E89&lt;=50,"L","A"))),""))))</f>
      </c>
      <c r="M89" t="s" s="136">
        <f>CONCATENATE(C89,D89)</f>
      </c>
      <c r="N89" t="s" s="136">
        <f>IF(OR(K89="",K89=0),O89,K89)</f>
      </c>
      <c r="O89" t="s" s="138">
        <f>_xlfn.IFERROR(IF(NOT(ISERROR(VLOOKUP(C89,'Deflatores Sisp'!G$42:H$70,2,FALSE))),VLOOKUP(C89,'Deflatores Sisp'!G$42:H$70,2,FALSE),IF(OR(ISBLANK(D89),ISBLANK(C89)),"",VLOOKUP(D89,'Deflatores Sisp'!G$4:H$38,2,FALSE)*K89+VLOOKUP(D89,'Deflatores Sisp'!G$4:I$38,3,FALSE)))*W89,"")</f>
      </c>
      <c r="P89" t="s" s="156">
        <v>80</v>
      </c>
      <c r="Q89" t="s" s="136">
        <v>80</v>
      </c>
      <c r="R89" t="s" s="136">
        <v>80</v>
      </c>
      <c r="S89" t="s" s="136">
        <v>80</v>
      </c>
      <c r="T89" s="149"/>
      <c r="U89" t="s" s="136">
        <v>80</v>
      </c>
      <c r="V89" s="141"/>
      <c r="W89" s="142">
        <f>IF(V89="",SUM(Z89:AE89),IF(C89="PA",E89,100%))</f>
        <v>0.95</v>
      </c>
      <c r="X89" s="143"/>
      <c r="Y89" s="144"/>
      <c r="Z89" s="145">
        <f>IF(P89="x",25%,0)</f>
        <v>0.25</v>
      </c>
      <c r="AA89" s="145">
        <f>IF(Q89="x",10%,0)</f>
        <v>0.1</v>
      </c>
      <c r="AB89" s="145">
        <f>IF(R89="x",40%,0)</f>
        <v>0.4</v>
      </c>
      <c r="AC89" s="145">
        <f>IF(S89="x",15%,0)</f>
        <v>0.15</v>
      </c>
      <c r="AD89" s="145">
        <f>IF(T89="x",5%,0)</f>
        <v>0</v>
      </c>
      <c r="AE89" s="145">
        <f>IF(U89="x",5%,0)</f>
        <v>0.05</v>
      </c>
    </row>
    <row r="90" s="90" customFormat="1" ht="33" customHeight="1">
      <c r="A90" s="133"/>
      <c r="C90" s="170"/>
      <c r="D90" s="132"/>
      <c r="E90" s="132"/>
      <c r="F90" s="171"/>
      <c r="G90" s="132"/>
      <c r="H90" s="172"/>
      <c r="I90" t="s" s="135">
        <f>IF(ISBLANK(C90),"",IF(L90="L","Baixa",IF(L90="A","Média",IF(L90="","","Alta"))))</f>
      </c>
      <c r="J90" t="s" s="136">
        <f>CONCATENATE(C90,L90)</f>
      </c>
      <c r="K90" t="s" s="136">
        <f>IF(ISBLANK(C90),"",IF(C90="ALI",IF(L90="L",7,IF(L90="A",10,15)),IF(C90="AIE",IF(L90="L",5,IF(L90="A",7,10)),IF(C90="SE",IF(L90="L",4,IF(L90="A",5,7)),IF(OR(C90="EE",C90="CE"),IF(L90="L",3,IF(L90="A",4,6)),0)))))</f>
      </c>
      <c r="L90" t="s" s="137">
        <f>IF(OR(ISBLANK(E90),ISBLANK(G90)),IF(OR(C90="ALI",C90="AIE"),"L",IF(OR(C90="EE",C90="SE",C90="CE"),"A","")),IF(C90="EE",IF(G90&gt;=3,IF(E90&gt;=5,"H","A"),IF(G90&gt;=2,IF(E90&gt;=16,"H",IF(E90&lt;=4,"L","A")),IF(E90&lt;=15,"L","A"))),IF(OR(C90="SE",C90="CE"),IF(G90&gt;=4,IF(E90&gt;=6,"H","A"),IF(G90&gt;=2,IF(E90&gt;=20,"H",IF(E90&lt;=5,"L","A")),IF(E90&lt;=19,"L","A"))),IF(OR(C90="ALI",C90="AIE"),IF(G90&gt;=6,IF(E90&gt;=20,"H","A"),IF(G90&gt;=2,IF(E90&gt;=51,"H",IF(E90&lt;=19,"L","A")),IF(E90&lt;=50,"L","A"))),""))))</f>
      </c>
      <c r="M90" t="s" s="136">
        <f>CONCATENATE(C90,D90)</f>
      </c>
      <c r="N90" t="s" s="136">
        <f>IF(OR(K90="",K90=0),O90,K90)</f>
      </c>
      <c r="O90" t="s" s="138">
        <f>_xlfn.IFERROR(IF(NOT(ISERROR(VLOOKUP(C90,'Deflatores Sisp'!G$42:H$70,2,FALSE))),VLOOKUP(C90,'Deflatores Sisp'!G$42:H$70,2,FALSE),IF(OR(ISBLANK(D90),ISBLANK(C90)),"",VLOOKUP(D90,'Deflatores Sisp'!G$4:H$38,2,FALSE)*K90+VLOOKUP(D90,'Deflatores Sisp'!G$4:I$38,3,FALSE)))*W90,"")</f>
      </c>
      <c r="P90" t="s" s="156">
        <v>80</v>
      </c>
      <c r="Q90" t="s" s="136">
        <v>80</v>
      </c>
      <c r="R90" t="s" s="136">
        <v>80</v>
      </c>
      <c r="S90" t="s" s="136">
        <v>80</v>
      </c>
      <c r="T90" s="149"/>
      <c r="U90" t="s" s="136">
        <v>80</v>
      </c>
      <c r="V90" s="141"/>
      <c r="W90" s="142">
        <f>IF(V90="",SUM(Z90:AE90),IF(C90="PA",E90,100%))</f>
        <v>0.95</v>
      </c>
      <c r="X90" s="143"/>
      <c r="Y90" s="144"/>
      <c r="Z90" s="145">
        <f>IF(P90="x",25%,0)</f>
        <v>0.25</v>
      </c>
      <c r="AA90" s="145">
        <f>IF(Q90="x",10%,0)</f>
        <v>0.1</v>
      </c>
      <c r="AB90" s="145">
        <f>IF(R90="x",40%,0)</f>
        <v>0.4</v>
      </c>
      <c r="AC90" s="145">
        <f>IF(S90="x",15%,0)</f>
        <v>0.15</v>
      </c>
      <c r="AD90" s="145">
        <f>IF(T90="x",5%,0)</f>
        <v>0</v>
      </c>
      <c r="AE90" s="145">
        <f>IF(U90="x",5%,0)</f>
        <v>0.05</v>
      </c>
    </row>
    <row r="91" s="90" customFormat="1" ht="33" customHeight="1">
      <c r="A91" s="133"/>
      <c r="C91" s="170"/>
      <c r="D91" s="132"/>
      <c r="E91" s="132"/>
      <c r="F91" s="171"/>
      <c r="G91" s="132"/>
      <c r="H91" s="172"/>
      <c r="I91" t="s" s="135">
        <f>IF(ISBLANK(C91),"",IF(L91="L","Baixa",IF(L91="A","Média",IF(L91="","","Alta"))))</f>
      </c>
      <c r="J91" t="s" s="136">
        <f>CONCATENATE(C91,L91)</f>
      </c>
      <c r="K91" t="s" s="136">
        <f>IF(ISBLANK(C91),"",IF(C91="ALI",IF(L91="L",7,IF(L91="A",10,15)),IF(C91="AIE",IF(L91="L",5,IF(L91="A",7,10)),IF(C91="SE",IF(L91="L",4,IF(L91="A",5,7)),IF(OR(C91="EE",C91="CE"),IF(L91="L",3,IF(L91="A",4,6)),0)))))</f>
      </c>
      <c r="L91" t="s" s="137">
        <f>IF(OR(ISBLANK(E91),ISBLANK(G91)),IF(OR(C91="ALI",C91="AIE"),"L",IF(OR(C91="EE",C91="SE",C91="CE"),"A","")),IF(C91="EE",IF(G91&gt;=3,IF(E91&gt;=5,"H","A"),IF(G91&gt;=2,IF(E91&gt;=16,"H",IF(E91&lt;=4,"L","A")),IF(E91&lt;=15,"L","A"))),IF(OR(C91="SE",C91="CE"),IF(G91&gt;=4,IF(E91&gt;=6,"H","A"),IF(G91&gt;=2,IF(E91&gt;=20,"H",IF(E91&lt;=5,"L","A")),IF(E91&lt;=19,"L","A"))),IF(OR(C91="ALI",C91="AIE"),IF(G91&gt;=6,IF(E91&gt;=20,"H","A"),IF(G91&gt;=2,IF(E91&gt;=51,"H",IF(E91&lt;=19,"L","A")),IF(E91&lt;=50,"L","A"))),""))))</f>
      </c>
      <c r="M91" t="s" s="136">
        <f>CONCATENATE(C91,D91)</f>
      </c>
      <c r="N91" t="s" s="136">
        <f>IF(OR(K91="",K91=0),O91,K91)</f>
      </c>
      <c r="O91" t="s" s="138">
        <f>_xlfn.IFERROR(IF(NOT(ISERROR(VLOOKUP(C91,'Deflatores Sisp'!G$42:H$70,2,FALSE))),VLOOKUP(C91,'Deflatores Sisp'!G$42:H$70,2,FALSE),IF(OR(ISBLANK(D91),ISBLANK(C91)),"",VLOOKUP(D91,'Deflatores Sisp'!G$4:H$38,2,FALSE)*K91+VLOOKUP(D91,'Deflatores Sisp'!G$4:I$38,3,FALSE)))*W91,"")</f>
      </c>
      <c r="P91" t="s" s="156">
        <v>80</v>
      </c>
      <c r="Q91" t="s" s="136">
        <v>80</v>
      </c>
      <c r="R91" t="s" s="136">
        <v>80</v>
      </c>
      <c r="S91" t="s" s="136">
        <v>80</v>
      </c>
      <c r="T91" s="149"/>
      <c r="U91" t="s" s="136">
        <v>80</v>
      </c>
      <c r="V91" s="141"/>
      <c r="W91" s="142">
        <f>IF(V91="",SUM(Z91:AE91),IF(C91="PA",E91,100%))</f>
        <v>0.95</v>
      </c>
      <c r="X91" s="143"/>
      <c r="Y91" s="144"/>
      <c r="Z91" s="145">
        <f>IF(P91="x",25%,0)</f>
        <v>0.25</v>
      </c>
      <c r="AA91" s="145">
        <f>IF(Q91="x",10%,0)</f>
        <v>0.1</v>
      </c>
      <c r="AB91" s="145">
        <f>IF(R91="x",40%,0)</f>
        <v>0.4</v>
      </c>
      <c r="AC91" s="145">
        <f>IF(S91="x",15%,0)</f>
        <v>0.15</v>
      </c>
      <c r="AD91" s="145">
        <f>IF(T91="x",5%,0)</f>
        <v>0</v>
      </c>
      <c r="AE91" s="145">
        <f>IF(U91="x",5%,0)</f>
        <v>0.05</v>
      </c>
    </row>
    <row r="92" s="90" customFormat="1" ht="33" customHeight="1">
      <c r="A92" s="133"/>
      <c r="C92" s="170"/>
      <c r="D92" s="132"/>
      <c r="E92" s="132"/>
      <c r="F92" s="171"/>
      <c r="G92" s="132"/>
      <c r="H92" s="172"/>
      <c r="I92" t="s" s="135">
        <f>IF(ISBLANK(C92),"",IF(L92="L","Baixa",IF(L92="A","Média",IF(L92="","","Alta"))))</f>
      </c>
      <c r="J92" t="s" s="136">
        <f>CONCATENATE(C92,L92)</f>
      </c>
      <c r="K92" t="s" s="136">
        <f>IF(ISBLANK(C92),"",IF(C92="ALI",IF(L92="L",7,IF(L92="A",10,15)),IF(C92="AIE",IF(L92="L",5,IF(L92="A",7,10)),IF(C92="SE",IF(L92="L",4,IF(L92="A",5,7)),IF(OR(C92="EE",C92="CE"),IF(L92="L",3,IF(L92="A",4,6)),0)))))</f>
      </c>
      <c r="L92" t="s" s="137">
        <f>IF(OR(ISBLANK(E92),ISBLANK(G92)),IF(OR(C92="ALI",C92="AIE"),"L",IF(OR(C92="EE",C92="SE",C92="CE"),"A","")),IF(C92="EE",IF(G92&gt;=3,IF(E92&gt;=5,"H","A"),IF(G92&gt;=2,IF(E92&gt;=16,"H",IF(E92&lt;=4,"L","A")),IF(E92&lt;=15,"L","A"))),IF(OR(C92="SE",C92="CE"),IF(G92&gt;=4,IF(E92&gt;=6,"H","A"),IF(G92&gt;=2,IF(E92&gt;=20,"H",IF(E92&lt;=5,"L","A")),IF(E92&lt;=19,"L","A"))),IF(OR(C92="ALI",C92="AIE"),IF(G92&gt;=6,IF(E92&gt;=20,"H","A"),IF(G92&gt;=2,IF(E92&gt;=51,"H",IF(E92&lt;=19,"L","A")),IF(E92&lt;=50,"L","A"))),""))))</f>
      </c>
      <c r="M92" t="s" s="136">
        <f>CONCATENATE(C92,D92)</f>
      </c>
      <c r="N92" t="s" s="136">
        <f>IF(OR(K92="",K92=0),O92,K92)</f>
      </c>
      <c r="O92" t="s" s="138">
        <f>_xlfn.IFERROR(IF(NOT(ISERROR(VLOOKUP(C92,'Deflatores Sisp'!G$42:H$70,2,FALSE))),VLOOKUP(C92,'Deflatores Sisp'!G$42:H$70,2,FALSE),IF(OR(ISBLANK(D92),ISBLANK(C92)),"",VLOOKUP(D92,'Deflatores Sisp'!G$4:H$38,2,FALSE)*K92+VLOOKUP(D92,'Deflatores Sisp'!G$4:I$38,3,FALSE)))*W92,"")</f>
      </c>
      <c r="P92" t="s" s="156">
        <v>80</v>
      </c>
      <c r="Q92" t="s" s="136">
        <v>80</v>
      </c>
      <c r="R92" t="s" s="136">
        <v>80</v>
      </c>
      <c r="S92" t="s" s="136">
        <v>80</v>
      </c>
      <c r="T92" s="149"/>
      <c r="U92" t="s" s="136">
        <v>80</v>
      </c>
      <c r="V92" s="141"/>
      <c r="W92" s="142">
        <f>IF(V92="",SUM(Z92:AE92),IF(C92="PA",E92,100%))</f>
        <v>0.95</v>
      </c>
      <c r="X92" s="143"/>
      <c r="Y92" s="144"/>
      <c r="Z92" s="145">
        <f>IF(P92="x",25%,0)</f>
        <v>0.25</v>
      </c>
      <c r="AA92" s="145">
        <f>IF(Q92="x",10%,0)</f>
        <v>0.1</v>
      </c>
      <c r="AB92" s="145">
        <f>IF(R92="x",40%,0)</f>
        <v>0.4</v>
      </c>
      <c r="AC92" s="145">
        <f>IF(S92="x",15%,0)</f>
        <v>0.15</v>
      </c>
      <c r="AD92" s="145">
        <f>IF(T92="x",5%,0)</f>
        <v>0</v>
      </c>
      <c r="AE92" s="145">
        <f>IF(U92="x",5%,0)</f>
        <v>0.05</v>
      </c>
    </row>
    <row r="93" s="90" customFormat="1" ht="33" customHeight="1">
      <c r="A93" s="133"/>
      <c r="C93" s="170"/>
      <c r="D93" s="132"/>
      <c r="E93" s="132"/>
      <c r="F93" s="171"/>
      <c r="G93" s="132"/>
      <c r="H93" s="172"/>
      <c r="I93" t="s" s="135">
        <f>IF(ISBLANK(C93),"",IF(L93="L","Baixa",IF(L93="A","Média",IF(L93="","","Alta"))))</f>
      </c>
      <c r="J93" t="s" s="136">
        <f>CONCATENATE(C93,L93)</f>
      </c>
      <c r="K93" t="s" s="136">
        <f>IF(ISBLANK(C93),"",IF(C93="ALI",IF(L93="L",7,IF(L93="A",10,15)),IF(C93="AIE",IF(L93="L",5,IF(L93="A",7,10)),IF(C93="SE",IF(L93="L",4,IF(L93="A",5,7)),IF(OR(C93="EE",C93="CE"),IF(L93="L",3,IF(L93="A",4,6)),0)))))</f>
      </c>
      <c r="L93" t="s" s="137">
        <f>IF(OR(ISBLANK(E93),ISBLANK(G93)),IF(OR(C93="ALI",C93="AIE"),"L",IF(OR(C93="EE",C93="SE",C93="CE"),"A","")),IF(C93="EE",IF(G93&gt;=3,IF(E93&gt;=5,"H","A"),IF(G93&gt;=2,IF(E93&gt;=16,"H",IF(E93&lt;=4,"L","A")),IF(E93&lt;=15,"L","A"))),IF(OR(C93="SE",C93="CE"),IF(G93&gt;=4,IF(E93&gt;=6,"H","A"),IF(G93&gt;=2,IF(E93&gt;=20,"H",IF(E93&lt;=5,"L","A")),IF(E93&lt;=19,"L","A"))),IF(OR(C93="ALI",C93="AIE"),IF(G93&gt;=6,IF(E93&gt;=20,"H","A"),IF(G93&gt;=2,IF(E93&gt;=51,"H",IF(E93&lt;=19,"L","A")),IF(E93&lt;=50,"L","A"))),""))))</f>
      </c>
      <c r="M93" t="s" s="136">
        <f>CONCATENATE(C93,D93)</f>
      </c>
      <c r="N93" t="s" s="136">
        <f>IF(OR(K93="",K93=0),O93,K93)</f>
      </c>
      <c r="O93" t="s" s="138">
        <f>_xlfn.IFERROR(IF(NOT(ISERROR(VLOOKUP(C93,'Deflatores Sisp'!G$42:H$70,2,FALSE))),VLOOKUP(C93,'Deflatores Sisp'!G$42:H$70,2,FALSE),IF(OR(ISBLANK(D93),ISBLANK(C93)),"",VLOOKUP(D93,'Deflatores Sisp'!G$4:H$38,2,FALSE)*K93+VLOOKUP(D93,'Deflatores Sisp'!G$4:I$38,3,FALSE)))*W93,"")</f>
      </c>
      <c r="P93" t="s" s="156">
        <v>80</v>
      </c>
      <c r="Q93" t="s" s="136">
        <v>80</v>
      </c>
      <c r="R93" t="s" s="136">
        <v>80</v>
      </c>
      <c r="S93" t="s" s="136">
        <v>80</v>
      </c>
      <c r="T93" s="149"/>
      <c r="U93" t="s" s="136">
        <v>80</v>
      </c>
      <c r="V93" s="141"/>
      <c r="W93" s="142">
        <f>IF(V93="",SUM(Z93:AE93),IF(C93="PA",E93,100%))</f>
        <v>0.95</v>
      </c>
      <c r="X93" s="143"/>
      <c r="Y93" s="144"/>
      <c r="Z93" s="145">
        <f>IF(P93="x",25%,0)</f>
        <v>0.25</v>
      </c>
      <c r="AA93" s="145">
        <f>IF(Q93="x",10%,0)</f>
        <v>0.1</v>
      </c>
      <c r="AB93" s="145">
        <f>IF(R93="x",40%,0)</f>
        <v>0.4</v>
      </c>
      <c r="AC93" s="145">
        <f>IF(S93="x",15%,0)</f>
        <v>0.15</v>
      </c>
      <c r="AD93" s="145">
        <f>IF(T93="x",5%,0)</f>
        <v>0</v>
      </c>
      <c r="AE93" s="145">
        <f>IF(U93="x",5%,0)</f>
        <v>0.05</v>
      </c>
    </row>
    <row r="94" s="90" customFormat="1" ht="33" customHeight="1">
      <c r="A94" s="133"/>
      <c r="B94" s="133"/>
      <c r="C94" s="132"/>
      <c r="D94" s="132"/>
      <c r="E94" s="132"/>
      <c r="F94" s="171"/>
      <c r="G94" s="132"/>
      <c r="H94" s="172"/>
      <c r="I94" t="s" s="135">
        <f>IF(ISBLANK(C94),"",IF(L94="L","Baixa",IF(L94="A","Média",IF(L94="","","Alta"))))</f>
      </c>
      <c r="J94" t="s" s="136">
        <f>CONCATENATE(C94,L94)</f>
      </c>
      <c r="K94" t="s" s="136">
        <f>IF(ISBLANK(C94),"",IF(C94="ALI",IF(L94="L",7,IF(L94="A",10,15)),IF(C94="AIE",IF(L94="L",5,IF(L94="A",7,10)),IF(C94="SE",IF(L94="L",4,IF(L94="A",5,7)),IF(OR(C94="EE",C94="CE"),IF(L94="L",3,IF(L94="A",4,6)),0)))))</f>
      </c>
      <c r="L94" t="s" s="137">
        <f>IF(OR(ISBLANK(E94),ISBLANK(G94)),IF(OR(C94="ALI",C94="AIE"),"L",IF(OR(C94="EE",C94="SE",C94="CE"),"A","")),IF(C94="EE",IF(G94&gt;=3,IF(E94&gt;=5,"H","A"),IF(G94&gt;=2,IF(E94&gt;=16,"H",IF(E94&lt;=4,"L","A")),IF(E94&lt;=15,"L","A"))),IF(OR(C94="SE",C94="CE"),IF(G94&gt;=4,IF(E94&gt;=6,"H","A"),IF(G94&gt;=2,IF(E94&gt;=20,"H",IF(E94&lt;=5,"L","A")),IF(E94&lt;=19,"L","A"))),IF(OR(C94="ALI",C94="AIE"),IF(G94&gt;=6,IF(E94&gt;=20,"H","A"),IF(G94&gt;=2,IF(E94&gt;=51,"H",IF(E94&lt;=19,"L","A")),IF(E94&lt;=50,"L","A"))),""))))</f>
      </c>
      <c r="M94" t="s" s="136">
        <f>CONCATENATE(C94,D94)</f>
      </c>
      <c r="N94" t="s" s="136">
        <f>IF(OR(K94="",K94=0),O94,K94)</f>
      </c>
      <c r="O94" t="s" s="138">
        <f>_xlfn.IFERROR(IF(NOT(ISERROR(VLOOKUP(C94,'Deflatores Sisp'!G$42:H$70,2,FALSE))),VLOOKUP(C94,'Deflatores Sisp'!G$42:H$70,2,FALSE),IF(OR(ISBLANK(D94),ISBLANK(C94)),"",VLOOKUP(D94,'Deflatores Sisp'!G$4:H$38,2,FALSE)*K94+VLOOKUP(D94,'Deflatores Sisp'!G$4:I$38,3,FALSE)))*W94,"")</f>
      </c>
      <c r="P94" t="s" s="156">
        <v>80</v>
      </c>
      <c r="Q94" t="s" s="136">
        <v>80</v>
      </c>
      <c r="R94" t="s" s="136">
        <v>80</v>
      </c>
      <c r="S94" t="s" s="136">
        <v>80</v>
      </c>
      <c r="T94" s="149"/>
      <c r="U94" t="s" s="136">
        <v>80</v>
      </c>
      <c r="V94" s="141"/>
      <c r="W94" s="142">
        <f>IF(V94="",SUM(Z94:AE94),IF(C94="PA",E94,100%))</f>
        <v>0.95</v>
      </c>
      <c r="X94" s="143"/>
      <c r="Y94" s="144"/>
      <c r="Z94" s="145">
        <f>IF(P94="x",25%,0)</f>
        <v>0.25</v>
      </c>
      <c r="AA94" s="145">
        <f>IF(Q94="x",10%,0)</f>
        <v>0.1</v>
      </c>
      <c r="AB94" s="145">
        <f>IF(R94="x",40%,0)</f>
        <v>0.4</v>
      </c>
      <c r="AC94" s="145">
        <f>IF(S94="x",15%,0)</f>
        <v>0.15</v>
      </c>
      <c r="AD94" s="145">
        <f>IF(T94="x",5%,0)</f>
        <v>0</v>
      </c>
      <c r="AE94" s="145">
        <f>IF(U94="x",5%,0)</f>
        <v>0.05</v>
      </c>
    </row>
    <row r="95" s="90" customFormat="1" ht="33" customHeight="1">
      <c r="A95" s="133"/>
      <c r="B95" s="133"/>
      <c r="C95" s="132"/>
      <c r="D95" s="132"/>
      <c r="E95" s="132"/>
      <c r="F95" s="171"/>
      <c r="G95" s="132"/>
      <c r="H95" s="172"/>
      <c r="I95" t="s" s="135">
        <f>IF(ISBLANK(C95),"",IF(L95="L","Baixa",IF(L95="A","Média",IF(L95="","","Alta"))))</f>
      </c>
      <c r="J95" t="s" s="136">
        <f>CONCATENATE(C95,L95)</f>
      </c>
      <c r="K95" t="s" s="136">
        <f>IF(ISBLANK(C95),"",IF(C95="ALI",IF(L95="L",7,IF(L95="A",10,15)),IF(C95="AIE",IF(L95="L",5,IF(L95="A",7,10)),IF(C95="SE",IF(L95="L",4,IF(L95="A",5,7)),IF(OR(C95="EE",C95="CE"),IF(L95="L",3,IF(L95="A",4,6)),0)))))</f>
      </c>
      <c r="L95" t="s" s="137">
        <f>IF(OR(ISBLANK(E95),ISBLANK(G95)),IF(OR(C95="ALI",C95="AIE"),"L",IF(OR(C95="EE",C95="SE",C95="CE"),"A","")),IF(C95="EE",IF(G95&gt;=3,IF(E95&gt;=5,"H","A"),IF(G95&gt;=2,IF(E95&gt;=16,"H",IF(E95&lt;=4,"L","A")),IF(E95&lt;=15,"L","A"))),IF(OR(C95="SE",C95="CE"),IF(G95&gt;=4,IF(E95&gt;=6,"H","A"),IF(G95&gt;=2,IF(E95&gt;=20,"H",IF(E95&lt;=5,"L","A")),IF(E95&lt;=19,"L","A"))),IF(OR(C95="ALI",C95="AIE"),IF(G95&gt;=6,IF(E95&gt;=20,"H","A"),IF(G95&gt;=2,IF(E95&gt;=51,"H",IF(E95&lt;=19,"L","A")),IF(E95&lt;=50,"L","A"))),""))))</f>
      </c>
      <c r="M95" t="s" s="136">
        <f>CONCATENATE(C95,D95)</f>
      </c>
      <c r="N95" t="s" s="136">
        <f>IF(OR(K95="",K95=0),O95,K95)</f>
      </c>
      <c r="O95" t="s" s="138">
        <f>_xlfn.IFERROR(IF(NOT(ISERROR(VLOOKUP(C95,'Deflatores Sisp'!G$42:H$70,2,FALSE))),VLOOKUP(C95,'Deflatores Sisp'!G$42:H$70,2,FALSE),IF(OR(ISBLANK(D95),ISBLANK(C95)),"",VLOOKUP(D95,'Deflatores Sisp'!G$4:H$38,2,FALSE)*K95+VLOOKUP(D95,'Deflatores Sisp'!G$4:I$38,3,FALSE)))*W95,"")</f>
      </c>
      <c r="P95" t="s" s="156">
        <v>80</v>
      </c>
      <c r="Q95" t="s" s="136">
        <v>80</v>
      </c>
      <c r="R95" t="s" s="136">
        <v>80</v>
      </c>
      <c r="S95" t="s" s="136">
        <v>80</v>
      </c>
      <c r="T95" s="149"/>
      <c r="U95" t="s" s="136">
        <v>80</v>
      </c>
      <c r="V95" s="141"/>
      <c r="W95" s="142">
        <f>IF(V95="",SUM(Z95:AE95),IF(C95="PA",E95,100%))</f>
        <v>0.95</v>
      </c>
      <c r="X95" s="143"/>
      <c r="Y95" s="144"/>
      <c r="Z95" s="145">
        <f>IF(P95="x",25%,0)</f>
        <v>0.25</v>
      </c>
      <c r="AA95" s="145">
        <f>IF(Q95="x",10%,0)</f>
        <v>0.1</v>
      </c>
      <c r="AB95" s="145">
        <f>IF(R95="x",40%,0)</f>
        <v>0.4</v>
      </c>
      <c r="AC95" s="145">
        <f>IF(S95="x",15%,0)</f>
        <v>0.15</v>
      </c>
      <c r="AD95" s="145">
        <f>IF(T95="x",5%,0)</f>
        <v>0</v>
      </c>
      <c r="AE95" s="145">
        <f>IF(U95="x",5%,0)</f>
        <v>0.05</v>
      </c>
    </row>
    <row r="96" s="90" customFormat="1" ht="33" customHeight="1">
      <c r="A96" s="133"/>
      <c r="B96" s="171"/>
      <c r="C96" s="132"/>
      <c r="D96" s="132"/>
      <c r="E96" s="132"/>
      <c r="F96" s="171"/>
      <c r="G96" s="132"/>
      <c r="H96" s="172"/>
      <c r="I96" t="s" s="135">
        <f>IF(ISBLANK(C96),"",IF(L96="L","Baixa",IF(L96="A","Média",IF(L96="","","Alta"))))</f>
      </c>
      <c r="J96" t="s" s="136">
        <f>CONCATENATE(C96,L96)</f>
      </c>
      <c r="K96" t="s" s="136">
        <f>IF(ISBLANK(C96),"",IF(C96="ALI",IF(L96="L",7,IF(L96="A",10,15)),IF(C96="AIE",IF(L96="L",5,IF(L96="A",7,10)),IF(C96="SE",IF(L96="L",4,IF(L96="A",5,7)),IF(OR(C96="EE",C96="CE"),IF(L96="L",3,IF(L96="A",4,6)),0)))))</f>
      </c>
      <c r="L96" t="s" s="137">
        <f>IF(OR(ISBLANK(E96),ISBLANK(G96)),IF(OR(C96="ALI",C96="AIE"),"L",IF(OR(C96="EE",C96="SE",C96="CE"),"A","")),IF(C96="EE",IF(G96&gt;=3,IF(E96&gt;=5,"H","A"),IF(G96&gt;=2,IF(E96&gt;=16,"H",IF(E96&lt;=4,"L","A")),IF(E96&lt;=15,"L","A"))),IF(OR(C96="SE",C96="CE"),IF(G96&gt;=4,IF(E96&gt;=6,"H","A"),IF(G96&gt;=2,IF(E96&gt;=20,"H",IF(E96&lt;=5,"L","A")),IF(E96&lt;=19,"L","A"))),IF(OR(C96="ALI",C96="AIE"),IF(G96&gt;=6,IF(E96&gt;=20,"H","A"),IF(G96&gt;=2,IF(E96&gt;=51,"H",IF(E96&lt;=19,"L","A")),IF(E96&lt;=50,"L","A"))),""))))</f>
      </c>
      <c r="M96" t="s" s="136">
        <f>CONCATENATE(C96,D96)</f>
      </c>
      <c r="N96" t="s" s="136">
        <f>IF(OR(K96="",K96=0),O96,K96)</f>
      </c>
      <c r="O96" t="s" s="138">
        <f>_xlfn.IFERROR(IF(NOT(ISERROR(VLOOKUP(C96,'Deflatores Sisp'!G$42:H$70,2,FALSE))),VLOOKUP(C96,'Deflatores Sisp'!G$42:H$70,2,FALSE),IF(OR(ISBLANK(D96),ISBLANK(C96)),"",VLOOKUP(D96,'Deflatores Sisp'!G$4:H$38,2,FALSE)*K96+VLOOKUP(D96,'Deflatores Sisp'!G$4:I$38,3,FALSE)))*W96,"")</f>
      </c>
      <c r="P96" t="s" s="156">
        <v>80</v>
      </c>
      <c r="Q96" t="s" s="136">
        <v>80</v>
      </c>
      <c r="R96" t="s" s="136">
        <v>80</v>
      </c>
      <c r="S96" t="s" s="136">
        <v>80</v>
      </c>
      <c r="T96" s="149"/>
      <c r="U96" t="s" s="136">
        <v>80</v>
      </c>
      <c r="V96" s="141"/>
      <c r="W96" s="142">
        <f>IF(V96="",SUM(Z96:AE96),IF(C96="PA",E96,100%))</f>
        <v>0.95</v>
      </c>
      <c r="X96" s="143"/>
      <c r="Y96" s="144"/>
      <c r="Z96" s="145">
        <f>IF(P96="x",25%,0)</f>
        <v>0.25</v>
      </c>
      <c r="AA96" s="145">
        <f>IF(Q96="x",10%,0)</f>
        <v>0.1</v>
      </c>
      <c r="AB96" s="145">
        <f>IF(R96="x",40%,0)</f>
        <v>0.4</v>
      </c>
      <c r="AC96" s="145">
        <f>IF(S96="x",15%,0)</f>
        <v>0.15</v>
      </c>
      <c r="AD96" s="145">
        <f>IF(T96="x",5%,0)</f>
        <v>0</v>
      </c>
      <c r="AE96" s="145">
        <f>IF(U96="x",5%,0)</f>
        <v>0.05</v>
      </c>
    </row>
    <row r="97" s="90" customFormat="1" ht="33" customHeight="1">
      <c r="A97" s="133"/>
      <c r="B97" s="171"/>
      <c r="C97" s="132"/>
      <c r="D97" s="132"/>
      <c r="E97" s="132"/>
      <c r="F97" s="171"/>
      <c r="G97" s="132"/>
      <c r="H97" s="172"/>
      <c r="I97" t="s" s="135">
        <f>IF(ISBLANK(C97),"",IF(L97="L","Baixa",IF(L97="A","Média",IF(L97="","","Alta"))))</f>
      </c>
      <c r="J97" t="s" s="136">
        <f>CONCATENATE(C97,L97)</f>
      </c>
      <c r="K97" t="s" s="136">
        <f>IF(ISBLANK(C97),"",IF(C97="ALI",IF(L97="L",7,IF(L97="A",10,15)),IF(C97="AIE",IF(L97="L",5,IF(L97="A",7,10)),IF(C97="SE",IF(L97="L",4,IF(L97="A",5,7)),IF(OR(C97="EE",C97="CE"),IF(L97="L",3,IF(L97="A",4,6)),0)))))</f>
      </c>
      <c r="L97" t="s" s="137">
        <f>IF(OR(ISBLANK(E97),ISBLANK(G97)),IF(OR(C97="ALI",C97="AIE"),"L",IF(OR(C97="EE",C97="SE",C97="CE"),"A","")),IF(C97="EE",IF(G97&gt;=3,IF(E97&gt;=5,"H","A"),IF(G97&gt;=2,IF(E97&gt;=16,"H",IF(E97&lt;=4,"L","A")),IF(E97&lt;=15,"L","A"))),IF(OR(C97="SE",C97="CE"),IF(G97&gt;=4,IF(E97&gt;=6,"H","A"),IF(G97&gt;=2,IF(E97&gt;=20,"H",IF(E97&lt;=5,"L","A")),IF(E97&lt;=19,"L","A"))),IF(OR(C97="ALI",C97="AIE"),IF(G97&gt;=6,IF(E97&gt;=20,"H","A"),IF(G97&gt;=2,IF(E97&gt;=51,"H",IF(E97&lt;=19,"L","A")),IF(E97&lt;=50,"L","A"))),""))))</f>
      </c>
      <c r="M97" t="s" s="136">
        <f>CONCATENATE(C97,D97)</f>
      </c>
      <c r="N97" t="s" s="136">
        <f>IF(OR(K97="",K97=0),O97,K97)</f>
      </c>
      <c r="O97" t="s" s="138">
        <f>_xlfn.IFERROR(IF(NOT(ISERROR(VLOOKUP(C97,'Deflatores Sisp'!G$42:H$70,2,FALSE))),VLOOKUP(C97,'Deflatores Sisp'!G$42:H$70,2,FALSE),IF(OR(ISBLANK(D97),ISBLANK(C97)),"",VLOOKUP(D97,'Deflatores Sisp'!G$4:H$38,2,FALSE)*K97+VLOOKUP(D97,'Deflatores Sisp'!G$4:I$38,3,FALSE)))*W97,"")</f>
      </c>
      <c r="P97" t="s" s="156">
        <v>80</v>
      </c>
      <c r="Q97" t="s" s="136">
        <v>80</v>
      </c>
      <c r="R97" t="s" s="136">
        <v>80</v>
      </c>
      <c r="S97" t="s" s="136">
        <v>80</v>
      </c>
      <c r="T97" s="149"/>
      <c r="U97" t="s" s="136">
        <v>80</v>
      </c>
      <c r="V97" s="141"/>
      <c r="W97" s="142">
        <f>IF(V97="",SUM(Z97:AE97),IF(C97="PA",E97,100%))</f>
        <v>0.95</v>
      </c>
      <c r="X97" s="143"/>
      <c r="Y97" s="144"/>
      <c r="Z97" s="145">
        <f>IF(P97="x",25%,0)</f>
        <v>0.25</v>
      </c>
      <c r="AA97" s="145">
        <f>IF(Q97="x",10%,0)</f>
        <v>0.1</v>
      </c>
      <c r="AB97" s="145">
        <f>IF(R97="x",40%,0)</f>
        <v>0.4</v>
      </c>
      <c r="AC97" s="145">
        <f>IF(S97="x",15%,0)</f>
        <v>0.15</v>
      </c>
      <c r="AD97" s="145">
        <f>IF(T97="x",5%,0)</f>
        <v>0</v>
      </c>
      <c r="AE97" s="145">
        <f>IF(U97="x",5%,0)</f>
        <v>0.05</v>
      </c>
    </row>
    <row r="98" s="90" customFormat="1" ht="33" customHeight="1">
      <c r="A98" s="133"/>
      <c r="B98" s="171"/>
      <c r="C98" s="132"/>
      <c r="D98" s="132"/>
      <c r="E98" s="132"/>
      <c r="F98" s="171"/>
      <c r="G98" s="132"/>
      <c r="H98" s="172"/>
      <c r="I98" t="s" s="135">
        <f>IF(ISBLANK(C98),"",IF(L98="L","Baixa",IF(L98="A","Média",IF(L98="","","Alta"))))</f>
      </c>
      <c r="J98" t="s" s="136">
        <f>CONCATENATE(C98,L98)</f>
      </c>
      <c r="K98" t="s" s="136">
        <f>IF(ISBLANK(C98),"",IF(C98="ALI",IF(L98="L",7,IF(L98="A",10,15)),IF(C98="AIE",IF(L98="L",5,IF(L98="A",7,10)),IF(C98="SE",IF(L98="L",4,IF(L98="A",5,7)),IF(OR(C98="EE",C98="CE"),IF(L98="L",3,IF(L98="A",4,6)),0)))))</f>
      </c>
      <c r="L98" t="s" s="137">
        <f>IF(OR(ISBLANK(E98),ISBLANK(G98)),IF(OR(C98="ALI",C98="AIE"),"L",IF(OR(C98="EE",C98="SE",C98="CE"),"A","")),IF(C98="EE",IF(G98&gt;=3,IF(E98&gt;=5,"H","A"),IF(G98&gt;=2,IF(E98&gt;=16,"H",IF(E98&lt;=4,"L","A")),IF(E98&lt;=15,"L","A"))),IF(OR(C98="SE",C98="CE"),IF(G98&gt;=4,IF(E98&gt;=6,"H","A"),IF(G98&gt;=2,IF(E98&gt;=20,"H",IF(E98&lt;=5,"L","A")),IF(E98&lt;=19,"L","A"))),IF(OR(C98="ALI",C98="AIE"),IF(G98&gt;=6,IF(E98&gt;=20,"H","A"),IF(G98&gt;=2,IF(E98&gt;=51,"H",IF(E98&lt;=19,"L","A")),IF(E98&lt;=50,"L","A"))),""))))</f>
      </c>
      <c r="M98" t="s" s="136">
        <f>CONCATENATE(C98,D98)</f>
      </c>
      <c r="N98" t="s" s="136">
        <f>IF(OR(K98="",K98=0),O98,K98)</f>
      </c>
      <c r="O98" t="s" s="138">
        <f>_xlfn.IFERROR(IF(NOT(ISERROR(VLOOKUP(C98,'Deflatores Sisp'!G$42:H$70,2,FALSE))),VLOOKUP(C98,'Deflatores Sisp'!G$42:H$70,2,FALSE),IF(OR(ISBLANK(D98),ISBLANK(C98)),"",VLOOKUP(D98,'Deflatores Sisp'!G$4:H$38,2,FALSE)*K98+VLOOKUP(D98,'Deflatores Sisp'!G$4:I$38,3,FALSE)))*W98,"")</f>
      </c>
      <c r="P98" t="s" s="156">
        <v>80</v>
      </c>
      <c r="Q98" t="s" s="136">
        <v>80</v>
      </c>
      <c r="R98" t="s" s="136">
        <v>80</v>
      </c>
      <c r="S98" t="s" s="136">
        <v>80</v>
      </c>
      <c r="T98" s="149"/>
      <c r="U98" t="s" s="136">
        <v>80</v>
      </c>
      <c r="V98" s="141"/>
      <c r="W98" s="142">
        <f>IF(V98="",SUM(Z98:AE98),IF(C98="PA",E98,100%))</f>
        <v>0.95</v>
      </c>
      <c r="X98" s="143"/>
      <c r="Y98" s="144"/>
      <c r="Z98" s="145">
        <f>IF(P98="x",25%,0)</f>
        <v>0.25</v>
      </c>
      <c r="AA98" s="145">
        <f>IF(Q98="x",10%,0)</f>
        <v>0.1</v>
      </c>
      <c r="AB98" s="145">
        <f>IF(R98="x",40%,0)</f>
        <v>0.4</v>
      </c>
      <c r="AC98" s="145">
        <f>IF(S98="x",15%,0)</f>
        <v>0.15</v>
      </c>
      <c r="AD98" s="145">
        <f>IF(T98="x",5%,0)</f>
        <v>0</v>
      </c>
      <c r="AE98" s="145">
        <f>IF(U98="x",5%,0)</f>
        <v>0.05</v>
      </c>
    </row>
    <row r="99" s="90" customFormat="1" ht="33" customHeight="1">
      <c r="A99" s="133"/>
      <c r="B99" s="171"/>
      <c r="C99" s="132"/>
      <c r="D99" s="132"/>
      <c r="E99" s="132"/>
      <c r="F99" s="171"/>
      <c r="G99" s="132"/>
      <c r="H99" s="172"/>
      <c r="I99" t="s" s="135">
        <f>IF(ISBLANK(C99),"",IF(L99="L","Baixa",IF(L99="A","Média",IF(L99="","","Alta"))))</f>
      </c>
      <c r="J99" t="s" s="136">
        <f>CONCATENATE(C99,L99)</f>
      </c>
      <c r="K99" t="s" s="136">
        <f>IF(ISBLANK(C99),"",IF(C99="ALI",IF(L99="L",7,IF(L99="A",10,15)),IF(C99="AIE",IF(L99="L",5,IF(L99="A",7,10)),IF(C99="SE",IF(L99="L",4,IF(L99="A",5,7)),IF(OR(C99="EE",C99="CE"),IF(L99="L",3,IF(L99="A",4,6)),0)))))</f>
      </c>
      <c r="L99" t="s" s="137">
        <f>IF(OR(ISBLANK(E99),ISBLANK(G99)),IF(OR(C99="ALI",C99="AIE"),"L",IF(OR(C99="EE",C99="SE",C99="CE"),"A","")),IF(C99="EE",IF(G99&gt;=3,IF(E99&gt;=5,"H","A"),IF(G99&gt;=2,IF(E99&gt;=16,"H",IF(E99&lt;=4,"L","A")),IF(E99&lt;=15,"L","A"))),IF(OR(C99="SE",C99="CE"),IF(G99&gt;=4,IF(E99&gt;=6,"H","A"),IF(G99&gt;=2,IF(E99&gt;=20,"H",IF(E99&lt;=5,"L","A")),IF(E99&lt;=19,"L","A"))),IF(OR(C99="ALI",C99="AIE"),IF(G99&gt;=6,IF(E99&gt;=20,"H","A"),IF(G99&gt;=2,IF(E99&gt;=51,"H",IF(E99&lt;=19,"L","A")),IF(E99&lt;=50,"L","A"))),""))))</f>
      </c>
      <c r="M99" t="s" s="136">
        <f>CONCATENATE(C99,D99)</f>
      </c>
      <c r="N99" t="s" s="136">
        <f>IF(OR(K99="",K99=0),O99,K99)</f>
      </c>
      <c r="O99" t="s" s="138">
        <f>_xlfn.IFERROR(IF(NOT(ISERROR(VLOOKUP(C99,'Deflatores Sisp'!G$42:H$70,2,FALSE))),VLOOKUP(C99,'Deflatores Sisp'!G$42:H$70,2,FALSE),IF(OR(ISBLANK(D99),ISBLANK(C99)),"",VLOOKUP(D99,'Deflatores Sisp'!G$4:H$38,2,FALSE)*K99+VLOOKUP(D99,'Deflatores Sisp'!G$4:I$38,3,FALSE)))*W99,"")</f>
      </c>
      <c r="P99" t="s" s="156">
        <v>80</v>
      </c>
      <c r="Q99" t="s" s="136">
        <v>80</v>
      </c>
      <c r="R99" t="s" s="136">
        <v>80</v>
      </c>
      <c r="S99" t="s" s="136">
        <v>80</v>
      </c>
      <c r="T99" s="149"/>
      <c r="U99" t="s" s="136">
        <v>80</v>
      </c>
      <c r="V99" s="141"/>
      <c r="W99" s="142">
        <f>IF(V99="",SUM(Z99:AE99),IF(C99="PA",E99,100%))</f>
        <v>0.95</v>
      </c>
      <c r="X99" s="143"/>
      <c r="Y99" s="144"/>
      <c r="Z99" s="145">
        <f>IF(P99="x",25%,0)</f>
        <v>0.25</v>
      </c>
      <c r="AA99" s="145">
        <f>IF(Q99="x",10%,0)</f>
        <v>0.1</v>
      </c>
      <c r="AB99" s="145">
        <f>IF(R99="x",40%,0)</f>
        <v>0.4</v>
      </c>
      <c r="AC99" s="145">
        <f>IF(S99="x",15%,0)</f>
        <v>0.15</v>
      </c>
      <c r="AD99" s="145">
        <f>IF(T99="x",5%,0)</f>
        <v>0</v>
      </c>
      <c r="AE99" s="145">
        <f>IF(U99="x",5%,0)</f>
        <v>0.05</v>
      </c>
    </row>
    <row r="100" s="90" customFormat="1" ht="33" customHeight="1">
      <c r="A100" s="133"/>
      <c r="B100" s="171"/>
      <c r="C100" s="132"/>
      <c r="D100" s="132"/>
      <c r="E100" s="132"/>
      <c r="F100" s="171"/>
      <c r="G100" s="132"/>
      <c r="H100" s="172"/>
      <c r="I100" t="s" s="135">
        <f>IF(ISBLANK(C100),"",IF(L100="L","Baixa",IF(L100="A","Média",IF(L100="","","Alta"))))</f>
      </c>
      <c r="J100" t="s" s="136">
        <f>CONCATENATE(C100,L100)</f>
      </c>
      <c r="K100" t="s" s="136">
        <f>IF(ISBLANK(C100),"",IF(C100="ALI",IF(L100="L",7,IF(L100="A",10,15)),IF(C100="AIE",IF(L100="L",5,IF(L100="A",7,10)),IF(C100="SE",IF(L100="L",4,IF(L100="A",5,7)),IF(OR(C100="EE",C100="CE"),IF(L100="L",3,IF(L100="A",4,6)),0)))))</f>
      </c>
      <c r="L100" t="s" s="137">
        <f>IF(OR(ISBLANK(E100),ISBLANK(G100)),IF(OR(C100="ALI",C100="AIE"),"L",IF(OR(C100="EE",C100="SE",C100="CE"),"A","")),IF(C100="EE",IF(G100&gt;=3,IF(E100&gt;=5,"H","A"),IF(G100&gt;=2,IF(E100&gt;=16,"H",IF(E100&lt;=4,"L","A")),IF(E100&lt;=15,"L","A"))),IF(OR(C100="SE",C100="CE"),IF(G100&gt;=4,IF(E100&gt;=6,"H","A"),IF(G100&gt;=2,IF(E100&gt;=20,"H",IF(E100&lt;=5,"L","A")),IF(E100&lt;=19,"L","A"))),IF(OR(C100="ALI",C100="AIE"),IF(G100&gt;=6,IF(E100&gt;=20,"H","A"),IF(G100&gt;=2,IF(E100&gt;=51,"H",IF(E100&lt;=19,"L","A")),IF(E100&lt;=50,"L","A"))),""))))</f>
      </c>
      <c r="M100" t="s" s="136">
        <f>CONCATENATE(C100,D100)</f>
      </c>
      <c r="N100" t="s" s="136">
        <f>IF(OR(K100="",K100=0),O100,K100)</f>
      </c>
      <c r="O100" t="s" s="138">
        <f>_xlfn.IFERROR(IF(NOT(ISERROR(VLOOKUP(C100,'Deflatores Sisp'!G$42:H$70,2,FALSE))),VLOOKUP(C100,'Deflatores Sisp'!G$42:H$70,2,FALSE),IF(OR(ISBLANK(D100),ISBLANK(C100)),"",VLOOKUP(D100,'Deflatores Sisp'!G$4:H$38,2,FALSE)*K100+VLOOKUP(D100,'Deflatores Sisp'!G$4:I$38,3,FALSE)))*W100,"")</f>
      </c>
      <c r="P100" t="s" s="156">
        <v>80</v>
      </c>
      <c r="Q100" t="s" s="136">
        <v>80</v>
      </c>
      <c r="R100" t="s" s="136">
        <v>80</v>
      </c>
      <c r="S100" t="s" s="136">
        <v>80</v>
      </c>
      <c r="T100" s="149"/>
      <c r="U100" t="s" s="136">
        <v>80</v>
      </c>
      <c r="V100" s="141"/>
      <c r="W100" s="142">
        <f>IF(V100="",SUM(Z100:AE100),IF(C100="PA",E100,100%))</f>
        <v>0.95</v>
      </c>
      <c r="X100" s="143"/>
      <c r="Y100" s="144"/>
      <c r="Z100" s="145">
        <f>IF(P100="x",25%,0)</f>
        <v>0.25</v>
      </c>
      <c r="AA100" s="145">
        <f>IF(Q100="x",10%,0)</f>
        <v>0.1</v>
      </c>
      <c r="AB100" s="145">
        <f>IF(R100="x",40%,0)</f>
        <v>0.4</v>
      </c>
      <c r="AC100" s="145">
        <f>IF(S100="x",15%,0)</f>
        <v>0.15</v>
      </c>
      <c r="AD100" s="145">
        <f>IF(T100="x",5%,0)</f>
        <v>0</v>
      </c>
      <c r="AE100" s="145">
        <f>IF(U100="x",5%,0)</f>
        <v>0.05</v>
      </c>
    </row>
    <row r="101" s="90" customFormat="1" ht="33" customHeight="1">
      <c r="A101" s="133"/>
      <c r="B101" s="171"/>
      <c r="C101" s="132"/>
      <c r="D101" s="132"/>
      <c r="E101" s="132"/>
      <c r="F101" s="171"/>
      <c r="G101" s="132"/>
      <c r="H101" s="172"/>
      <c r="I101" t="s" s="135">
        <f>IF(ISBLANK(C101),"",IF(L101="L","Baixa",IF(L101="A","Média",IF(L101="","","Alta"))))</f>
      </c>
      <c r="J101" t="s" s="136">
        <f>CONCATENATE(C101,L101)</f>
      </c>
      <c r="K101" t="s" s="136">
        <f>IF(ISBLANK(C101),"",IF(C101="ALI",IF(L101="L",7,IF(L101="A",10,15)),IF(C101="AIE",IF(L101="L",5,IF(L101="A",7,10)),IF(C101="SE",IF(L101="L",4,IF(L101="A",5,7)),IF(OR(C101="EE",C101="CE"),IF(L101="L",3,IF(L101="A",4,6)),0)))))</f>
      </c>
      <c r="L101" t="s" s="137">
        <f>IF(OR(ISBLANK(E101),ISBLANK(G101)),IF(OR(C101="ALI",C101="AIE"),"L",IF(OR(C101="EE",C101="SE",C101="CE"),"A","")),IF(C101="EE",IF(G101&gt;=3,IF(E101&gt;=5,"H","A"),IF(G101&gt;=2,IF(E101&gt;=16,"H",IF(E101&lt;=4,"L","A")),IF(E101&lt;=15,"L","A"))),IF(OR(C101="SE",C101="CE"),IF(G101&gt;=4,IF(E101&gt;=6,"H","A"),IF(G101&gt;=2,IF(E101&gt;=20,"H",IF(E101&lt;=5,"L","A")),IF(E101&lt;=19,"L","A"))),IF(OR(C101="ALI",C101="AIE"),IF(G101&gt;=6,IF(E101&gt;=20,"H","A"),IF(G101&gt;=2,IF(E101&gt;=51,"H",IF(E101&lt;=19,"L","A")),IF(E101&lt;=50,"L","A"))),""))))</f>
      </c>
      <c r="M101" t="s" s="136">
        <f>CONCATENATE(C101,D101)</f>
      </c>
      <c r="N101" t="s" s="136">
        <f>IF(OR(K101="",K101=0),O101,K101)</f>
      </c>
      <c r="O101" t="s" s="138">
        <f>_xlfn.IFERROR(IF(NOT(ISERROR(VLOOKUP(C101,'Deflatores Sisp'!G$42:H$70,2,FALSE))),VLOOKUP(C101,'Deflatores Sisp'!G$42:H$70,2,FALSE),IF(OR(ISBLANK(D101),ISBLANK(C101)),"",VLOOKUP(D101,'Deflatores Sisp'!G$4:H$38,2,FALSE)*K101+VLOOKUP(D101,'Deflatores Sisp'!G$4:I$38,3,FALSE)))*W101,"")</f>
      </c>
      <c r="P101" t="s" s="156">
        <v>80</v>
      </c>
      <c r="Q101" t="s" s="136">
        <v>80</v>
      </c>
      <c r="R101" t="s" s="136">
        <v>80</v>
      </c>
      <c r="S101" t="s" s="136">
        <v>80</v>
      </c>
      <c r="T101" s="149"/>
      <c r="U101" t="s" s="136">
        <v>80</v>
      </c>
      <c r="V101" s="141"/>
      <c r="W101" s="142">
        <f>IF(V101="",SUM(Z101:AE101),IF(C101="PA",E101,100%))</f>
        <v>0.95</v>
      </c>
      <c r="X101" s="143"/>
      <c r="Y101" s="144"/>
      <c r="Z101" s="145">
        <f>IF(P101="x",25%,0)</f>
        <v>0.25</v>
      </c>
      <c r="AA101" s="145">
        <f>IF(Q101="x",10%,0)</f>
        <v>0.1</v>
      </c>
      <c r="AB101" s="145">
        <f>IF(R101="x",40%,0)</f>
        <v>0.4</v>
      </c>
      <c r="AC101" s="145">
        <f>IF(S101="x",15%,0)</f>
        <v>0.15</v>
      </c>
      <c r="AD101" s="145">
        <f>IF(T101="x",5%,0)</f>
        <v>0</v>
      </c>
      <c r="AE101" s="145">
        <f>IF(U101="x",5%,0)</f>
        <v>0.05</v>
      </c>
    </row>
    <row r="102" s="90" customFormat="1" ht="33" customHeight="1">
      <c r="A102" s="133"/>
      <c r="B102" s="171"/>
      <c r="C102" s="132"/>
      <c r="D102" s="132"/>
      <c r="E102" s="132"/>
      <c r="F102" s="171"/>
      <c r="G102" s="132"/>
      <c r="H102" s="172"/>
      <c r="I102" t="s" s="135">
        <f>IF(ISBLANK(C102),"",IF(L102="L","Baixa",IF(L102="A","Média",IF(L102="","","Alta"))))</f>
      </c>
      <c r="J102" t="s" s="136">
        <f>CONCATENATE(C102,L102)</f>
      </c>
      <c r="K102" t="s" s="136">
        <f>IF(ISBLANK(C102),"",IF(C102="ALI",IF(L102="L",7,IF(L102="A",10,15)),IF(C102="AIE",IF(L102="L",5,IF(L102="A",7,10)),IF(C102="SE",IF(L102="L",4,IF(L102="A",5,7)),IF(OR(C102="EE",C102="CE"),IF(L102="L",3,IF(L102="A",4,6)),0)))))</f>
      </c>
      <c r="L102" t="s" s="137">
        <f>IF(OR(ISBLANK(E102),ISBLANK(G102)),IF(OR(C102="ALI",C102="AIE"),"L",IF(OR(C102="EE",C102="SE",C102="CE"),"A","")),IF(C102="EE",IF(G102&gt;=3,IF(E102&gt;=5,"H","A"),IF(G102&gt;=2,IF(E102&gt;=16,"H",IF(E102&lt;=4,"L","A")),IF(E102&lt;=15,"L","A"))),IF(OR(C102="SE",C102="CE"),IF(G102&gt;=4,IF(E102&gt;=6,"H","A"),IF(G102&gt;=2,IF(E102&gt;=20,"H",IF(E102&lt;=5,"L","A")),IF(E102&lt;=19,"L","A"))),IF(OR(C102="ALI",C102="AIE"),IF(G102&gt;=6,IF(E102&gt;=20,"H","A"),IF(G102&gt;=2,IF(E102&gt;=51,"H",IF(E102&lt;=19,"L","A")),IF(E102&lt;=50,"L","A"))),""))))</f>
      </c>
      <c r="M102" t="s" s="136">
        <f>CONCATENATE(C102,D102)</f>
      </c>
      <c r="N102" t="s" s="136">
        <f>IF(OR(K102="",K102=0),O102,K102)</f>
      </c>
      <c r="O102" t="s" s="138">
        <f>_xlfn.IFERROR(IF(NOT(ISERROR(VLOOKUP(C102,'Deflatores Sisp'!G$42:H$70,2,FALSE))),VLOOKUP(C102,'Deflatores Sisp'!G$42:H$70,2,FALSE),IF(OR(ISBLANK(D102),ISBLANK(C102)),"",VLOOKUP(D102,'Deflatores Sisp'!G$4:H$38,2,FALSE)*K102+VLOOKUP(D102,'Deflatores Sisp'!G$4:I$38,3,FALSE)))*W102,"")</f>
      </c>
      <c r="P102" t="s" s="156">
        <v>80</v>
      </c>
      <c r="Q102" t="s" s="136">
        <v>80</v>
      </c>
      <c r="R102" t="s" s="136">
        <v>80</v>
      </c>
      <c r="S102" t="s" s="136">
        <v>80</v>
      </c>
      <c r="T102" s="149"/>
      <c r="U102" t="s" s="136">
        <v>80</v>
      </c>
      <c r="V102" s="141"/>
      <c r="W102" s="142">
        <f>IF(V102="",SUM(Z102:AE102),IF(C102="PA",E102,100%))</f>
        <v>0.95</v>
      </c>
      <c r="X102" s="143"/>
      <c r="Y102" s="144"/>
      <c r="Z102" s="145">
        <f>IF(P102="x",25%,0)</f>
        <v>0.25</v>
      </c>
      <c r="AA102" s="145">
        <f>IF(Q102="x",10%,0)</f>
        <v>0.1</v>
      </c>
      <c r="AB102" s="145">
        <f>IF(R102="x",40%,0)</f>
        <v>0.4</v>
      </c>
      <c r="AC102" s="145">
        <f>IF(S102="x",15%,0)</f>
        <v>0.15</v>
      </c>
      <c r="AD102" s="145">
        <f>IF(T102="x",5%,0)</f>
        <v>0</v>
      </c>
      <c r="AE102" s="145">
        <f>IF(U102="x",5%,0)</f>
        <v>0.05</v>
      </c>
    </row>
    <row r="103" s="90" customFormat="1" ht="33" customHeight="1">
      <c r="A103" s="133"/>
      <c r="B103" s="133"/>
      <c r="C103" s="132"/>
      <c r="D103" s="132"/>
      <c r="E103" s="132"/>
      <c r="F103" s="171"/>
      <c r="G103" s="132"/>
      <c r="H103" s="172"/>
      <c r="I103" t="s" s="135">
        <f>IF(ISBLANK(C103),"",IF(L103="L","Baixa",IF(L103="A","Média",IF(L103="","","Alta"))))</f>
      </c>
      <c r="J103" t="s" s="136">
        <f>CONCATENATE(C103,L103)</f>
      </c>
      <c r="K103" t="s" s="136">
        <f>IF(ISBLANK(C103),"",IF(C103="ALI",IF(L103="L",7,IF(L103="A",10,15)),IF(C103="AIE",IF(L103="L",5,IF(L103="A",7,10)),IF(C103="SE",IF(L103="L",4,IF(L103="A",5,7)),IF(OR(C103="EE",C103="CE"),IF(L103="L",3,IF(L103="A",4,6)),0)))))</f>
      </c>
      <c r="L103" t="s" s="137">
        <f>IF(OR(ISBLANK(E103),ISBLANK(G103)),IF(OR(C103="ALI",C103="AIE"),"L",IF(OR(C103="EE",C103="SE",C103="CE"),"A","")),IF(C103="EE",IF(G103&gt;=3,IF(E103&gt;=5,"H","A"),IF(G103&gt;=2,IF(E103&gt;=16,"H",IF(E103&lt;=4,"L","A")),IF(E103&lt;=15,"L","A"))),IF(OR(C103="SE",C103="CE"),IF(G103&gt;=4,IF(E103&gt;=6,"H","A"),IF(G103&gt;=2,IF(E103&gt;=20,"H",IF(E103&lt;=5,"L","A")),IF(E103&lt;=19,"L","A"))),IF(OR(C103="ALI",C103="AIE"),IF(G103&gt;=6,IF(E103&gt;=20,"H","A"),IF(G103&gt;=2,IF(E103&gt;=51,"H",IF(E103&lt;=19,"L","A")),IF(E103&lt;=50,"L","A"))),""))))</f>
      </c>
      <c r="M103" t="s" s="136">
        <f>CONCATENATE(C103,D103)</f>
      </c>
      <c r="N103" t="s" s="136">
        <f>IF(OR(K103="",K103=0),O103,K103)</f>
      </c>
      <c r="O103" t="s" s="138">
        <f>_xlfn.IFERROR(IF(NOT(ISERROR(VLOOKUP(C103,'Deflatores Sisp'!G$42:H$70,2,FALSE))),VLOOKUP(C103,'Deflatores Sisp'!G$42:H$70,2,FALSE),IF(OR(ISBLANK(D103),ISBLANK(C103)),"",VLOOKUP(D103,'Deflatores Sisp'!G$4:H$38,2,FALSE)*K103+VLOOKUP(D103,'Deflatores Sisp'!G$4:I$38,3,FALSE)))*W103,"")</f>
      </c>
      <c r="P103" t="s" s="156">
        <v>80</v>
      </c>
      <c r="Q103" t="s" s="136">
        <v>80</v>
      </c>
      <c r="R103" t="s" s="136">
        <v>80</v>
      </c>
      <c r="S103" t="s" s="136">
        <v>80</v>
      </c>
      <c r="T103" s="149"/>
      <c r="U103" t="s" s="136">
        <v>80</v>
      </c>
      <c r="V103" s="141"/>
      <c r="W103" s="142">
        <f>IF(V103="",SUM(Z103:AE103),IF(C103="PA",E103,100%))</f>
        <v>0.95</v>
      </c>
      <c r="X103" s="143"/>
      <c r="Y103" s="144"/>
      <c r="Z103" s="145">
        <f>IF(P103="x",25%,0)</f>
        <v>0.25</v>
      </c>
      <c r="AA103" s="145">
        <f>IF(Q103="x",10%,0)</f>
        <v>0.1</v>
      </c>
      <c r="AB103" s="145">
        <f>IF(R103="x",40%,0)</f>
        <v>0.4</v>
      </c>
      <c r="AC103" s="145">
        <f>IF(S103="x",15%,0)</f>
        <v>0.15</v>
      </c>
      <c r="AD103" s="145">
        <f>IF(T103="x",5%,0)</f>
        <v>0</v>
      </c>
      <c r="AE103" s="145">
        <f>IF(U103="x",5%,0)</f>
        <v>0.05</v>
      </c>
    </row>
    <row r="104" s="90" customFormat="1" ht="33" customHeight="1">
      <c r="A104" s="133"/>
      <c r="B104" s="171"/>
      <c r="C104" s="132"/>
      <c r="D104" s="132"/>
      <c r="E104" s="132"/>
      <c r="F104" s="171"/>
      <c r="G104" s="132"/>
      <c r="H104" s="172"/>
      <c r="I104" t="s" s="135">
        <f>IF(ISBLANK(C104),"",IF(L104="L","Baixa",IF(L104="A","Média",IF(L104="","","Alta"))))</f>
      </c>
      <c r="J104" t="s" s="136">
        <f>CONCATENATE(C104,L104)</f>
      </c>
      <c r="K104" t="s" s="136">
        <f>IF(ISBLANK(C104),"",IF(C104="ALI",IF(L104="L",7,IF(L104="A",10,15)),IF(C104="AIE",IF(L104="L",5,IF(L104="A",7,10)),IF(C104="SE",IF(L104="L",4,IF(L104="A",5,7)),IF(OR(C104="EE",C104="CE"),IF(L104="L",3,IF(L104="A",4,6)),0)))))</f>
      </c>
      <c r="L104" t="s" s="137">
        <f>IF(OR(ISBLANK(E104),ISBLANK(G104)),IF(OR(C104="ALI",C104="AIE"),"L",IF(OR(C104="EE",C104="SE",C104="CE"),"A","")),IF(C104="EE",IF(G104&gt;=3,IF(E104&gt;=5,"H","A"),IF(G104&gt;=2,IF(E104&gt;=16,"H",IF(E104&lt;=4,"L","A")),IF(E104&lt;=15,"L","A"))),IF(OR(C104="SE",C104="CE"),IF(G104&gt;=4,IF(E104&gt;=6,"H","A"),IF(G104&gt;=2,IF(E104&gt;=20,"H",IF(E104&lt;=5,"L","A")),IF(E104&lt;=19,"L","A"))),IF(OR(C104="ALI",C104="AIE"),IF(G104&gt;=6,IF(E104&gt;=20,"H","A"),IF(G104&gt;=2,IF(E104&gt;=51,"H",IF(E104&lt;=19,"L","A")),IF(E104&lt;=50,"L","A"))),""))))</f>
      </c>
      <c r="M104" t="s" s="136">
        <f>CONCATENATE(C104,D104)</f>
      </c>
      <c r="N104" t="s" s="136">
        <f>IF(OR(K104="",K104=0),O104,K104)</f>
      </c>
      <c r="O104" t="s" s="138">
        <f>_xlfn.IFERROR(IF(NOT(ISERROR(VLOOKUP(C104,'Deflatores Sisp'!G$42:H$70,2,FALSE))),VLOOKUP(C104,'Deflatores Sisp'!G$42:H$70,2,FALSE),IF(OR(ISBLANK(D104),ISBLANK(C104)),"",VLOOKUP(D104,'Deflatores Sisp'!G$4:H$38,2,FALSE)*K104+VLOOKUP(D104,'Deflatores Sisp'!G$4:I$38,3,FALSE)))*W104,"")</f>
      </c>
      <c r="P104" t="s" s="156">
        <v>80</v>
      </c>
      <c r="Q104" t="s" s="136">
        <v>80</v>
      </c>
      <c r="R104" t="s" s="136">
        <v>80</v>
      </c>
      <c r="S104" t="s" s="136">
        <v>80</v>
      </c>
      <c r="T104" s="149"/>
      <c r="U104" t="s" s="136">
        <v>80</v>
      </c>
      <c r="V104" s="141"/>
      <c r="W104" s="142">
        <f>IF(V104="",SUM(Z104:AE104),IF(C104="PA",E104,100%))</f>
        <v>0.95</v>
      </c>
      <c r="X104" s="143"/>
      <c r="Y104" s="144"/>
      <c r="Z104" s="145">
        <f>IF(P104="x",25%,0)</f>
        <v>0.25</v>
      </c>
      <c r="AA104" s="145">
        <f>IF(Q104="x",10%,0)</f>
        <v>0.1</v>
      </c>
      <c r="AB104" s="145">
        <f>IF(R104="x",40%,0)</f>
        <v>0.4</v>
      </c>
      <c r="AC104" s="145">
        <f>IF(S104="x",15%,0)</f>
        <v>0.15</v>
      </c>
      <c r="AD104" s="145">
        <f>IF(T104="x",5%,0)</f>
        <v>0</v>
      </c>
      <c r="AE104" s="145">
        <f>IF(U104="x",5%,0)</f>
        <v>0.05</v>
      </c>
    </row>
    <row r="105" s="90" customFormat="1" ht="33" customHeight="1">
      <c r="A105" s="133"/>
      <c r="C105" s="170"/>
      <c r="D105" s="132"/>
      <c r="E105" s="132"/>
      <c r="F105" s="133"/>
      <c r="G105" s="132"/>
      <c r="H105" s="134"/>
      <c r="I105" t="s" s="135">
        <f>IF(ISBLANK(C105),"",IF(L105="L","Baixa",IF(L105="A","Média",IF(L105="","","Alta"))))</f>
      </c>
      <c r="J105" t="s" s="136">
        <f>CONCATENATE(C105,L105)</f>
      </c>
      <c r="K105" t="s" s="136">
        <f>IF(ISBLANK(C105),"",IF(C105="ALI",IF(L105="L",7,IF(L105="A",10,15)),IF(C105="AIE",IF(L105="L",5,IF(L105="A",7,10)),IF(C105="SE",IF(L105="L",4,IF(L105="A",5,7)),IF(OR(C105="EE",C105="CE"),IF(L105="L",3,IF(L105="A",4,6)),0)))))</f>
      </c>
      <c r="L105" t="s" s="137">
        <f>IF(OR(ISBLANK(E105),ISBLANK(G105)),IF(OR(C105="ALI",C105="AIE"),"L",IF(OR(C105="EE",C105="SE",C105="CE"),"A","")),IF(C105="EE",IF(G105&gt;=3,IF(E105&gt;=5,"H","A"),IF(G105&gt;=2,IF(E105&gt;=16,"H",IF(E105&lt;=4,"L","A")),IF(E105&lt;=15,"L","A"))),IF(OR(C105="SE",C105="CE"),IF(G105&gt;=4,IF(E105&gt;=6,"H","A"),IF(G105&gt;=2,IF(E105&gt;=20,"H",IF(E105&lt;=5,"L","A")),IF(E105&lt;=19,"L","A"))),IF(OR(C105="ALI",C105="AIE"),IF(G105&gt;=6,IF(E105&gt;=20,"H","A"),IF(G105&gt;=2,IF(E105&gt;=51,"H",IF(E105&lt;=19,"L","A")),IF(E105&lt;=50,"L","A"))),""))))</f>
      </c>
      <c r="M105" t="s" s="136">
        <f>CONCATENATE(C105,D105)</f>
      </c>
      <c r="N105" t="s" s="136">
        <f>IF(OR(K105="",K105=0),O105,K105)</f>
      </c>
      <c r="O105" t="s" s="138">
        <f>_xlfn.IFERROR(IF(NOT(ISERROR(VLOOKUP(C105,'Deflatores Sisp'!G$42:H$70,2,FALSE))),VLOOKUP(C105,'Deflatores Sisp'!G$42:H$70,2,FALSE),IF(OR(ISBLANK(D105),ISBLANK(C105)),"",VLOOKUP(D105,'Deflatores Sisp'!G$4:H$38,2,FALSE)*K105+VLOOKUP(D105,'Deflatores Sisp'!G$4:I$38,3,FALSE)))*W105,"")</f>
      </c>
      <c r="P105" t="s" s="156">
        <v>80</v>
      </c>
      <c r="Q105" t="s" s="136">
        <v>80</v>
      </c>
      <c r="R105" t="s" s="136">
        <v>80</v>
      </c>
      <c r="S105" t="s" s="136">
        <v>80</v>
      </c>
      <c r="T105" s="149"/>
      <c r="U105" t="s" s="136">
        <v>80</v>
      </c>
      <c r="V105" s="141"/>
      <c r="W105" s="142">
        <f>IF(V105="",SUM(Z105:AE105),IF(C105="PA",E105,100%))</f>
        <v>0.95</v>
      </c>
      <c r="X105" s="143"/>
      <c r="Y105" s="144"/>
      <c r="Z105" s="145">
        <f>IF(P105="x",25%,0)</f>
        <v>0.25</v>
      </c>
      <c r="AA105" s="145">
        <f>IF(Q105="x",10%,0)</f>
        <v>0.1</v>
      </c>
      <c r="AB105" s="145">
        <f>IF(R105="x",40%,0)</f>
        <v>0.4</v>
      </c>
      <c r="AC105" s="145">
        <f>IF(S105="x",15%,0)</f>
        <v>0.15</v>
      </c>
      <c r="AD105" s="145">
        <f>IF(T105="x",5%,0)</f>
        <v>0</v>
      </c>
      <c r="AE105" s="145">
        <f>IF(U105="x",5%,0)</f>
        <v>0.05</v>
      </c>
    </row>
    <row r="106" s="90" customFormat="1" ht="33" customHeight="1">
      <c r="A106" s="133"/>
      <c r="C106" s="170"/>
      <c r="D106" s="132"/>
      <c r="E106" s="132"/>
      <c r="F106" s="133"/>
      <c r="G106" s="132"/>
      <c r="H106" s="134"/>
      <c r="I106" t="s" s="135">
        <f>IF(ISBLANK(C106),"",IF(L106="L","Baixa",IF(L106="A","Média",IF(L106="","","Alta"))))</f>
      </c>
      <c r="J106" t="s" s="136">
        <f>CONCATENATE(C106,L106)</f>
      </c>
      <c r="K106" t="s" s="136">
        <f>IF(ISBLANK(C106),"",IF(C106="ALI",IF(L106="L",7,IF(L106="A",10,15)),IF(C106="AIE",IF(L106="L",5,IF(L106="A",7,10)),IF(C106="SE",IF(L106="L",4,IF(L106="A",5,7)),IF(OR(C106="EE",C106="CE"),IF(L106="L",3,IF(L106="A",4,6)),0)))))</f>
      </c>
      <c r="L106" t="s" s="137">
        <f>IF(OR(ISBLANK(E106),ISBLANK(G106)),IF(OR(C106="ALI",C106="AIE"),"L",IF(OR(C106="EE",C106="SE",C106="CE"),"A","")),IF(C106="EE",IF(G106&gt;=3,IF(E106&gt;=5,"H","A"),IF(G106&gt;=2,IF(E106&gt;=16,"H",IF(E106&lt;=4,"L","A")),IF(E106&lt;=15,"L","A"))),IF(OR(C106="SE",C106="CE"),IF(G106&gt;=4,IF(E106&gt;=6,"H","A"),IF(G106&gt;=2,IF(E106&gt;=20,"H",IF(E106&lt;=5,"L","A")),IF(E106&lt;=19,"L","A"))),IF(OR(C106="ALI",C106="AIE"),IF(G106&gt;=6,IF(E106&gt;=20,"H","A"),IF(G106&gt;=2,IF(E106&gt;=51,"H",IF(E106&lt;=19,"L","A")),IF(E106&lt;=50,"L","A"))),""))))</f>
      </c>
      <c r="M106" t="s" s="136">
        <f>CONCATENATE(C106,D106)</f>
      </c>
      <c r="N106" t="s" s="136">
        <f>IF(OR(K106="",K106=0),O106,K106)</f>
      </c>
      <c r="O106" t="s" s="138">
        <f>_xlfn.IFERROR(IF(NOT(ISERROR(VLOOKUP(C106,'Deflatores Sisp'!G$42:H$70,2,FALSE))),VLOOKUP(C106,'Deflatores Sisp'!G$42:H$70,2,FALSE),IF(OR(ISBLANK(D106),ISBLANK(C106)),"",VLOOKUP(D106,'Deflatores Sisp'!G$4:H$38,2,FALSE)*K106+VLOOKUP(D106,'Deflatores Sisp'!G$4:I$38,3,FALSE)))*W106,"")</f>
      </c>
      <c r="P106" t="s" s="156">
        <v>80</v>
      </c>
      <c r="Q106" t="s" s="136">
        <v>80</v>
      </c>
      <c r="R106" t="s" s="136">
        <v>80</v>
      </c>
      <c r="S106" t="s" s="136">
        <v>80</v>
      </c>
      <c r="T106" s="149"/>
      <c r="U106" t="s" s="136">
        <v>80</v>
      </c>
      <c r="V106" s="141"/>
      <c r="W106" s="142">
        <f>IF(V106="",SUM(Z106:AE106),IF(C106="PA",E106,100%))</f>
        <v>0.95</v>
      </c>
      <c r="X106" s="143"/>
      <c r="Y106" s="144"/>
      <c r="Z106" s="145">
        <f>IF(P106="x",25%,0)</f>
        <v>0.25</v>
      </c>
      <c r="AA106" s="145">
        <f>IF(Q106="x",10%,0)</f>
        <v>0.1</v>
      </c>
      <c r="AB106" s="145">
        <f>IF(R106="x",40%,0)</f>
        <v>0.4</v>
      </c>
      <c r="AC106" s="145">
        <f>IF(S106="x",15%,0)</f>
        <v>0.15</v>
      </c>
      <c r="AD106" s="145">
        <f>IF(T106="x",5%,0)</f>
        <v>0</v>
      </c>
      <c r="AE106" s="145">
        <f>IF(U106="x",5%,0)</f>
        <v>0.05</v>
      </c>
    </row>
    <row r="107" s="90" customFormat="1" ht="33" customHeight="1">
      <c r="A107" s="133"/>
      <c r="C107" s="170"/>
      <c r="D107" s="132"/>
      <c r="E107" s="132"/>
      <c r="F107" s="133"/>
      <c r="G107" s="132"/>
      <c r="H107" s="134"/>
      <c r="I107" t="s" s="135">
        <f>IF(ISBLANK(C107),"",IF(L107="L","Baixa",IF(L107="A","Média",IF(L107="","","Alta"))))</f>
      </c>
      <c r="J107" t="s" s="136">
        <f>CONCATENATE(C107,L107)</f>
      </c>
      <c r="K107" t="s" s="136">
        <f>IF(ISBLANK(C107),"",IF(C107="ALI",IF(L107="L",7,IF(L107="A",10,15)),IF(C107="AIE",IF(L107="L",5,IF(L107="A",7,10)),IF(C107="SE",IF(L107="L",4,IF(L107="A",5,7)),IF(OR(C107="EE",C107="CE"),IF(L107="L",3,IF(L107="A",4,6)),0)))))</f>
      </c>
      <c r="L107" t="s" s="137">
        <f>IF(OR(ISBLANK(E107),ISBLANK(G107)),IF(OR(C107="ALI",C107="AIE"),"L",IF(OR(C107="EE",C107="SE",C107="CE"),"A","")),IF(C107="EE",IF(G107&gt;=3,IF(E107&gt;=5,"H","A"),IF(G107&gt;=2,IF(E107&gt;=16,"H",IF(E107&lt;=4,"L","A")),IF(E107&lt;=15,"L","A"))),IF(OR(C107="SE",C107="CE"),IF(G107&gt;=4,IF(E107&gt;=6,"H","A"),IF(G107&gt;=2,IF(E107&gt;=20,"H",IF(E107&lt;=5,"L","A")),IF(E107&lt;=19,"L","A"))),IF(OR(C107="ALI",C107="AIE"),IF(G107&gt;=6,IF(E107&gt;=20,"H","A"),IF(G107&gt;=2,IF(E107&gt;=51,"H",IF(E107&lt;=19,"L","A")),IF(E107&lt;=50,"L","A"))),""))))</f>
      </c>
      <c r="M107" t="s" s="136">
        <f>CONCATENATE(C107,D107)</f>
      </c>
      <c r="N107" t="s" s="136">
        <f>IF(OR(K107="",K107=0),O107,K107)</f>
      </c>
      <c r="O107" t="s" s="138">
        <f>_xlfn.IFERROR(IF(NOT(ISERROR(VLOOKUP(C107,'Deflatores Sisp'!G$42:H$70,2,FALSE))),VLOOKUP(C107,'Deflatores Sisp'!G$42:H$70,2,FALSE),IF(OR(ISBLANK(D107),ISBLANK(C107)),"",VLOOKUP(D107,'Deflatores Sisp'!G$4:H$38,2,FALSE)*K107+VLOOKUP(D107,'Deflatores Sisp'!G$4:I$38,3,FALSE)))*W107,"")</f>
      </c>
      <c r="P107" t="s" s="156">
        <v>80</v>
      </c>
      <c r="Q107" t="s" s="136">
        <v>80</v>
      </c>
      <c r="R107" t="s" s="136">
        <v>80</v>
      </c>
      <c r="S107" t="s" s="136">
        <v>80</v>
      </c>
      <c r="T107" s="149"/>
      <c r="U107" t="s" s="136">
        <v>80</v>
      </c>
      <c r="V107" s="141"/>
      <c r="W107" s="142">
        <f>IF(V107="",SUM(Z107:AE107),IF(C107="PA",E107,100%))</f>
        <v>0.95</v>
      </c>
      <c r="X107" s="143"/>
      <c r="Y107" s="144"/>
      <c r="Z107" s="145">
        <f>IF(P107="x",25%,0)</f>
        <v>0.25</v>
      </c>
      <c r="AA107" s="145">
        <f>IF(Q107="x",10%,0)</f>
        <v>0.1</v>
      </c>
      <c r="AB107" s="145">
        <f>IF(R107="x",40%,0)</f>
        <v>0.4</v>
      </c>
      <c r="AC107" s="145">
        <f>IF(S107="x",15%,0)</f>
        <v>0.15</v>
      </c>
      <c r="AD107" s="145">
        <f>IF(T107="x",5%,0)</f>
        <v>0</v>
      </c>
      <c r="AE107" s="145">
        <f>IF(U107="x",5%,0)</f>
        <v>0.05</v>
      </c>
    </row>
    <row r="108" s="90" customFormat="1" ht="33" customHeight="1">
      <c r="A108" s="133"/>
      <c r="C108" s="170"/>
      <c r="D108" s="132"/>
      <c r="E108" s="132"/>
      <c r="F108" s="133"/>
      <c r="G108" s="132"/>
      <c r="H108" s="134"/>
      <c r="I108" t="s" s="135">
        <f>IF(ISBLANK(C108),"",IF(L108="L","Baixa",IF(L108="A","Média",IF(L108="","","Alta"))))</f>
      </c>
      <c r="J108" t="s" s="136">
        <f>CONCATENATE(C108,L108)</f>
      </c>
      <c r="K108" t="s" s="136">
        <f>IF(ISBLANK(C108),"",IF(C108="ALI",IF(L108="L",7,IF(L108="A",10,15)),IF(C108="AIE",IF(L108="L",5,IF(L108="A",7,10)),IF(C108="SE",IF(L108="L",4,IF(L108="A",5,7)),IF(OR(C108="EE",C108="CE"),IF(L108="L",3,IF(L108="A",4,6)),0)))))</f>
      </c>
      <c r="L108" t="s" s="137">
        <f>IF(OR(ISBLANK(E108),ISBLANK(G108)),IF(OR(C108="ALI",C108="AIE"),"L",IF(OR(C108="EE",C108="SE",C108="CE"),"A","")),IF(C108="EE",IF(G108&gt;=3,IF(E108&gt;=5,"H","A"),IF(G108&gt;=2,IF(E108&gt;=16,"H",IF(E108&lt;=4,"L","A")),IF(E108&lt;=15,"L","A"))),IF(OR(C108="SE",C108="CE"),IF(G108&gt;=4,IF(E108&gt;=6,"H","A"),IF(G108&gt;=2,IF(E108&gt;=20,"H",IF(E108&lt;=5,"L","A")),IF(E108&lt;=19,"L","A"))),IF(OR(C108="ALI",C108="AIE"),IF(G108&gt;=6,IF(E108&gt;=20,"H","A"),IF(G108&gt;=2,IF(E108&gt;=51,"H",IF(E108&lt;=19,"L","A")),IF(E108&lt;=50,"L","A"))),""))))</f>
      </c>
      <c r="M108" t="s" s="136">
        <f>CONCATENATE(C108,D108)</f>
      </c>
      <c r="N108" t="s" s="136">
        <f>IF(OR(K108="",K108=0),O108,K108)</f>
      </c>
      <c r="O108" t="s" s="138">
        <f>_xlfn.IFERROR(IF(NOT(ISERROR(VLOOKUP(C108,'Deflatores Sisp'!G$42:H$70,2,FALSE))),VLOOKUP(C108,'Deflatores Sisp'!G$42:H$70,2,FALSE),IF(OR(ISBLANK(D108),ISBLANK(C108)),"",VLOOKUP(D108,'Deflatores Sisp'!G$4:H$38,2,FALSE)*K108+VLOOKUP(D108,'Deflatores Sisp'!G$4:I$38,3,FALSE)))*W108,"")</f>
      </c>
      <c r="P108" t="s" s="156">
        <v>80</v>
      </c>
      <c r="Q108" t="s" s="136">
        <v>80</v>
      </c>
      <c r="R108" t="s" s="136">
        <v>80</v>
      </c>
      <c r="S108" t="s" s="136">
        <v>80</v>
      </c>
      <c r="T108" s="149"/>
      <c r="U108" t="s" s="136">
        <v>80</v>
      </c>
      <c r="V108" s="141"/>
      <c r="W108" s="142">
        <f>IF(V108="",SUM(Z108:AE108),IF(C108="PA",E108,100%))</f>
        <v>0.95</v>
      </c>
      <c r="X108" s="143"/>
      <c r="Y108" s="144"/>
      <c r="Z108" s="145">
        <f>IF(P108="x",25%,0)</f>
        <v>0.25</v>
      </c>
      <c r="AA108" s="145">
        <f>IF(Q108="x",10%,0)</f>
        <v>0.1</v>
      </c>
      <c r="AB108" s="145">
        <f>IF(R108="x",40%,0)</f>
        <v>0.4</v>
      </c>
      <c r="AC108" s="145">
        <f>IF(S108="x",15%,0)</f>
        <v>0.15</v>
      </c>
      <c r="AD108" s="145">
        <f>IF(T108="x",5%,0)</f>
        <v>0</v>
      </c>
      <c r="AE108" s="145">
        <f>IF(U108="x",5%,0)</f>
        <v>0.05</v>
      </c>
    </row>
    <row r="109" s="90" customFormat="1" ht="33" customHeight="1">
      <c r="A109" s="133"/>
      <c r="C109" s="170"/>
      <c r="D109" s="132"/>
      <c r="E109" s="132"/>
      <c r="F109" s="133"/>
      <c r="G109" s="132"/>
      <c r="H109" s="134"/>
      <c r="I109" t="s" s="135">
        <f>IF(ISBLANK(C109),"",IF(L109="L","Baixa",IF(L109="A","Média",IF(L109="","","Alta"))))</f>
      </c>
      <c r="J109" t="s" s="136">
        <f>CONCATENATE(C109,L109)</f>
      </c>
      <c r="K109" t="s" s="136">
        <f>IF(ISBLANK(C109),"",IF(C109="ALI",IF(L109="L",7,IF(L109="A",10,15)),IF(C109="AIE",IF(L109="L",5,IF(L109="A",7,10)),IF(C109="SE",IF(L109="L",4,IF(L109="A",5,7)),IF(OR(C109="EE",C109="CE"),IF(L109="L",3,IF(L109="A",4,6)),0)))))</f>
      </c>
      <c r="L109" t="s" s="137">
        <f>IF(OR(ISBLANK(E109),ISBLANK(G109)),IF(OR(C109="ALI",C109="AIE"),"L",IF(OR(C109="EE",C109="SE",C109="CE"),"A","")),IF(C109="EE",IF(G109&gt;=3,IF(E109&gt;=5,"H","A"),IF(G109&gt;=2,IF(E109&gt;=16,"H",IF(E109&lt;=4,"L","A")),IF(E109&lt;=15,"L","A"))),IF(OR(C109="SE",C109="CE"),IF(G109&gt;=4,IF(E109&gt;=6,"H","A"),IF(G109&gt;=2,IF(E109&gt;=20,"H",IF(E109&lt;=5,"L","A")),IF(E109&lt;=19,"L","A"))),IF(OR(C109="ALI",C109="AIE"),IF(G109&gt;=6,IF(E109&gt;=20,"H","A"),IF(G109&gt;=2,IF(E109&gt;=51,"H",IF(E109&lt;=19,"L","A")),IF(E109&lt;=50,"L","A"))),""))))</f>
      </c>
      <c r="M109" t="s" s="136">
        <f>CONCATENATE(C109,D109)</f>
      </c>
      <c r="N109" t="s" s="136">
        <f>IF(OR(K109="",K109=0),O109,K109)</f>
      </c>
      <c r="O109" t="s" s="138">
        <f>_xlfn.IFERROR(IF(NOT(ISERROR(VLOOKUP(C109,'Deflatores Sisp'!G$42:H$70,2,FALSE))),VLOOKUP(C109,'Deflatores Sisp'!G$42:H$70,2,FALSE),IF(OR(ISBLANK(D109),ISBLANK(C109)),"",VLOOKUP(D109,'Deflatores Sisp'!G$4:H$38,2,FALSE)*K109+VLOOKUP(D109,'Deflatores Sisp'!G$4:I$38,3,FALSE)))*W109,"")</f>
      </c>
      <c r="P109" t="s" s="156">
        <v>80</v>
      </c>
      <c r="Q109" t="s" s="136">
        <v>80</v>
      </c>
      <c r="R109" t="s" s="136">
        <v>80</v>
      </c>
      <c r="S109" t="s" s="136">
        <v>80</v>
      </c>
      <c r="T109" s="149"/>
      <c r="U109" t="s" s="136">
        <v>80</v>
      </c>
      <c r="V109" s="141"/>
      <c r="W109" s="142">
        <f>IF(V109="",SUM(Z109:AE109),IF(C109="PA",E109,100%))</f>
        <v>0.95</v>
      </c>
      <c r="X109" s="143"/>
      <c r="Y109" s="144"/>
      <c r="Z109" s="145">
        <f>IF(P109="x",25%,0)</f>
        <v>0.25</v>
      </c>
      <c r="AA109" s="145">
        <f>IF(Q109="x",10%,0)</f>
        <v>0.1</v>
      </c>
      <c r="AB109" s="145">
        <f>IF(R109="x",40%,0)</f>
        <v>0.4</v>
      </c>
      <c r="AC109" s="145">
        <f>IF(S109="x",15%,0)</f>
        <v>0.15</v>
      </c>
      <c r="AD109" s="145">
        <f>IF(T109="x",5%,0)</f>
        <v>0</v>
      </c>
      <c r="AE109" s="145">
        <f>IF(U109="x",5%,0)</f>
        <v>0.05</v>
      </c>
    </row>
    <row r="110" s="90" customFormat="1" ht="33" customHeight="1">
      <c r="A110" s="133"/>
      <c r="C110" s="170"/>
      <c r="D110" s="132"/>
      <c r="E110" s="132"/>
      <c r="F110" s="133"/>
      <c r="G110" s="132"/>
      <c r="H110" s="134"/>
      <c r="I110" t="s" s="135">
        <f>IF(ISBLANK(C110),"",IF(L110="L","Baixa",IF(L110="A","Média",IF(L110="","","Alta"))))</f>
      </c>
      <c r="J110" t="s" s="136">
        <f>CONCATENATE(C110,L110)</f>
      </c>
      <c r="K110" t="s" s="136">
        <f>IF(ISBLANK(C110),"",IF(C110="ALI",IF(L110="L",7,IF(L110="A",10,15)),IF(C110="AIE",IF(L110="L",5,IF(L110="A",7,10)),IF(C110="SE",IF(L110="L",4,IF(L110="A",5,7)),IF(OR(C110="EE",C110="CE"),IF(L110="L",3,IF(L110="A",4,6)),0)))))</f>
      </c>
      <c r="L110" t="s" s="137">
        <f>IF(OR(ISBLANK(E110),ISBLANK(G110)),IF(OR(C110="ALI",C110="AIE"),"L",IF(OR(C110="EE",C110="SE",C110="CE"),"A","")),IF(C110="EE",IF(G110&gt;=3,IF(E110&gt;=5,"H","A"),IF(G110&gt;=2,IF(E110&gt;=16,"H",IF(E110&lt;=4,"L","A")),IF(E110&lt;=15,"L","A"))),IF(OR(C110="SE",C110="CE"),IF(G110&gt;=4,IF(E110&gt;=6,"H","A"),IF(G110&gt;=2,IF(E110&gt;=20,"H",IF(E110&lt;=5,"L","A")),IF(E110&lt;=19,"L","A"))),IF(OR(C110="ALI",C110="AIE"),IF(G110&gt;=6,IF(E110&gt;=20,"H","A"),IF(G110&gt;=2,IF(E110&gt;=51,"H",IF(E110&lt;=19,"L","A")),IF(E110&lt;=50,"L","A"))),""))))</f>
      </c>
      <c r="M110" t="s" s="136">
        <f>CONCATENATE(C110,D110)</f>
      </c>
      <c r="N110" t="s" s="136">
        <f>IF(OR(K110="",K110=0),O110,K110)</f>
      </c>
      <c r="O110" t="s" s="138">
        <f>_xlfn.IFERROR(IF(NOT(ISERROR(VLOOKUP(C110,'Deflatores Sisp'!G$42:H$70,2,FALSE))),VLOOKUP(C110,'Deflatores Sisp'!G$42:H$70,2,FALSE),IF(OR(ISBLANK(D110),ISBLANK(C110)),"",VLOOKUP(D110,'Deflatores Sisp'!G$4:H$38,2,FALSE)*K110+VLOOKUP(D110,'Deflatores Sisp'!G$4:I$38,3,FALSE)))*W110,"")</f>
      </c>
      <c r="P110" t="s" s="156">
        <v>80</v>
      </c>
      <c r="Q110" t="s" s="136">
        <v>80</v>
      </c>
      <c r="R110" t="s" s="136">
        <v>80</v>
      </c>
      <c r="S110" t="s" s="136">
        <v>80</v>
      </c>
      <c r="T110" s="149"/>
      <c r="U110" t="s" s="136">
        <v>80</v>
      </c>
      <c r="V110" s="141"/>
      <c r="W110" s="142">
        <f>IF(V110="",SUM(Z110:AE110),IF(C110="PA",E110,100%))</f>
        <v>0.95</v>
      </c>
      <c r="X110" s="143"/>
      <c r="Y110" s="144"/>
      <c r="Z110" s="145">
        <f>IF(P110="x",25%,0)</f>
        <v>0.25</v>
      </c>
      <c r="AA110" s="145">
        <f>IF(Q110="x",10%,0)</f>
        <v>0.1</v>
      </c>
      <c r="AB110" s="145">
        <f>IF(R110="x",40%,0)</f>
        <v>0.4</v>
      </c>
      <c r="AC110" s="145">
        <f>IF(S110="x",15%,0)</f>
        <v>0.15</v>
      </c>
      <c r="AD110" s="145">
        <f>IF(T110="x",5%,0)</f>
        <v>0</v>
      </c>
      <c r="AE110" s="145">
        <f>IF(U110="x",5%,0)</f>
        <v>0.05</v>
      </c>
    </row>
    <row r="111" s="90" customFormat="1" ht="33" customHeight="1">
      <c r="A111" s="133"/>
      <c r="C111" s="170"/>
      <c r="D111" s="132"/>
      <c r="E111" s="132"/>
      <c r="F111" s="133"/>
      <c r="G111" s="132"/>
      <c r="H111" s="134"/>
      <c r="I111" t="s" s="135">
        <f>IF(ISBLANK(C111),"",IF(L111="L","Baixa",IF(L111="A","Média",IF(L111="","","Alta"))))</f>
      </c>
      <c r="J111" t="s" s="136">
        <f>CONCATENATE(C111,L111)</f>
      </c>
      <c r="K111" t="s" s="136">
        <f>IF(ISBLANK(C111),"",IF(C111="ALI",IF(L111="L",7,IF(L111="A",10,15)),IF(C111="AIE",IF(L111="L",5,IF(L111="A",7,10)),IF(C111="SE",IF(L111="L",4,IF(L111="A",5,7)),IF(OR(C111="EE",C111="CE"),IF(L111="L",3,IF(L111="A",4,6)),0)))))</f>
      </c>
      <c r="L111" t="s" s="137">
        <f>IF(OR(ISBLANK(E111),ISBLANK(G111)),IF(OR(C111="ALI",C111="AIE"),"L",IF(OR(C111="EE",C111="SE",C111="CE"),"A","")),IF(C111="EE",IF(G111&gt;=3,IF(E111&gt;=5,"H","A"),IF(G111&gt;=2,IF(E111&gt;=16,"H",IF(E111&lt;=4,"L","A")),IF(E111&lt;=15,"L","A"))),IF(OR(C111="SE",C111="CE"),IF(G111&gt;=4,IF(E111&gt;=6,"H","A"),IF(G111&gt;=2,IF(E111&gt;=20,"H",IF(E111&lt;=5,"L","A")),IF(E111&lt;=19,"L","A"))),IF(OR(C111="ALI",C111="AIE"),IF(G111&gt;=6,IF(E111&gt;=20,"H","A"),IF(G111&gt;=2,IF(E111&gt;=51,"H",IF(E111&lt;=19,"L","A")),IF(E111&lt;=50,"L","A"))),""))))</f>
      </c>
      <c r="M111" t="s" s="136">
        <f>CONCATENATE(C111,D111)</f>
      </c>
      <c r="N111" t="s" s="136">
        <f>IF(OR(K111="",K111=0),O111,K111)</f>
      </c>
      <c r="O111" t="s" s="138">
        <f>_xlfn.IFERROR(IF(NOT(ISERROR(VLOOKUP(C111,'Deflatores Sisp'!G$42:H$70,2,FALSE))),VLOOKUP(C111,'Deflatores Sisp'!G$42:H$70,2,FALSE),IF(OR(ISBLANK(D111),ISBLANK(C111)),"",VLOOKUP(D111,'Deflatores Sisp'!G$4:H$38,2,FALSE)*K111+VLOOKUP(D111,'Deflatores Sisp'!G$4:I$38,3,FALSE)))*W111,"")</f>
      </c>
      <c r="P111" t="s" s="156">
        <v>80</v>
      </c>
      <c r="Q111" t="s" s="136">
        <v>80</v>
      </c>
      <c r="R111" t="s" s="136">
        <v>80</v>
      </c>
      <c r="S111" t="s" s="136">
        <v>80</v>
      </c>
      <c r="T111" s="149"/>
      <c r="U111" t="s" s="136">
        <v>80</v>
      </c>
      <c r="V111" s="141"/>
      <c r="W111" s="142">
        <f>IF(V111="",SUM(Z111:AE111),IF(C111="PA",E111,100%))</f>
        <v>0.95</v>
      </c>
      <c r="X111" s="143"/>
      <c r="Y111" s="144"/>
      <c r="Z111" s="145">
        <f>IF(P111="x",25%,0)</f>
        <v>0.25</v>
      </c>
      <c r="AA111" s="145">
        <f>IF(Q111="x",10%,0)</f>
        <v>0.1</v>
      </c>
      <c r="AB111" s="145">
        <f>IF(R111="x",40%,0)</f>
        <v>0.4</v>
      </c>
      <c r="AC111" s="145">
        <f>IF(S111="x",15%,0)</f>
        <v>0.15</v>
      </c>
      <c r="AD111" s="145">
        <f>IF(T111="x",5%,0)</f>
        <v>0</v>
      </c>
      <c r="AE111" s="145">
        <f>IF(U111="x",5%,0)</f>
        <v>0.05</v>
      </c>
    </row>
    <row r="112" s="90" customFormat="1" ht="33" customHeight="1">
      <c r="A112" s="133"/>
      <c r="C112" s="170"/>
      <c r="D112" s="132"/>
      <c r="E112" s="132"/>
      <c r="F112" s="133"/>
      <c r="G112" s="132"/>
      <c r="H112" s="134"/>
      <c r="I112" t="s" s="135">
        <f>IF(ISBLANK(C112),"",IF(L112="L","Baixa",IF(L112="A","Média",IF(L112="","","Alta"))))</f>
      </c>
      <c r="J112" t="s" s="136">
        <f>CONCATENATE(C112,L112)</f>
      </c>
      <c r="K112" t="s" s="136">
        <f>IF(ISBLANK(C112),"",IF(C112="ALI",IF(L112="L",7,IF(L112="A",10,15)),IF(C112="AIE",IF(L112="L",5,IF(L112="A",7,10)),IF(C112="SE",IF(L112="L",4,IF(L112="A",5,7)),IF(OR(C112="EE",C112="CE"),IF(L112="L",3,IF(L112="A",4,6)),0)))))</f>
      </c>
      <c r="L112" t="s" s="137">
        <f>IF(OR(ISBLANK(E112),ISBLANK(G112)),IF(OR(C112="ALI",C112="AIE"),"L",IF(OR(C112="EE",C112="SE",C112="CE"),"A","")),IF(C112="EE",IF(G112&gt;=3,IF(E112&gt;=5,"H","A"),IF(G112&gt;=2,IF(E112&gt;=16,"H",IF(E112&lt;=4,"L","A")),IF(E112&lt;=15,"L","A"))),IF(OR(C112="SE",C112="CE"),IF(G112&gt;=4,IF(E112&gt;=6,"H","A"),IF(G112&gt;=2,IF(E112&gt;=20,"H",IF(E112&lt;=5,"L","A")),IF(E112&lt;=19,"L","A"))),IF(OR(C112="ALI",C112="AIE"),IF(G112&gt;=6,IF(E112&gt;=20,"H","A"),IF(G112&gt;=2,IF(E112&gt;=51,"H",IF(E112&lt;=19,"L","A")),IF(E112&lt;=50,"L","A"))),""))))</f>
      </c>
      <c r="M112" t="s" s="136">
        <f>CONCATENATE(C112,D112)</f>
      </c>
      <c r="N112" t="s" s="136">
        <f>IF(OR(K112="",K112=0),O112,K112)</f>
      </c>
      <c r="O112" t="s" s="138">
        <f>_xlfn.IFERROR(IF(NOT(ISERROR(VLOOKUP(C112,'Deflatores Sisp'!G$42:H$70,2,FALSE))),VLOOKUP(C112,'Deflatores Sisp'!G$42:H$70,2,FALSE),IF(OR(ISBLANK(D112),ISBLANK(C112)),"",VLOOKUP(D112,'Deflatores Sisp'!G$4:H$38,2,FALSE)*K112+VLOOKUP(D112,'Deflatores Sisp'!G$4:I$38,3,FALSE)))*W112,"")</f>
      </c>
      <c r="P112" t="s" s="156">
        <v>80</v>
      </c>
      <c r="Q112" t="s" s="136">
        <v>80</v>
      </c>
      <c r="R112" t="s" s="136">
        <v>80</v>
      </c>
      <c r="S112" t="s" s="136">
        <v>80</v>
      </c>
      <c r="T112" s="149"/>
      <c r="U112" t="s" s="136">
        <v>80</v>
      </c>
      <c r="V112" s="141"/>
      <c r="W112" s="142">
        <f>IF(V112="",SUM(Z112:AE112),IF(C112="PA",E112,100%))</f>
        <v>0.95</v>
      </c>
      <c r="X112" s="143"/>
      <c r="Y112" s="144"/>
      <c r="Z112" s="145">
        <f>IF(P112="x",25%,0)</f>
        <v>0.25</v>
      </c>
      <c r="AA112" s="145">
        <f>IF(Q112="x",10%,0)</f>
        <v>0.1</v>
      </c>
      <c r="AB112" s="145">
        <f>IF(R112="x",40%,0)</f>
        <v>0.4</v>
      </c>
      <c r="AC112" s="145">
        <f>IF(S112="x",15%,0)</f>
        <v>0.15</v>
      </c>
      <c r="AD112" s="145">
        <f>IF(T112="x",5%,0)</f>
        <v>0</v>
      </c>
      <c r="AE112" s="145">
        <f>IF(U112="x",5%,0)</f>
        <v>0.05</v>
      </c>
    </row>
    <row r="113" s="90" customFormat="1" ht="33" customHeight="1">
      <c r="A113" s="133"/>
      <c r="C113" s="170"/>
      <c r="D113" s="132"/>
      <c r="E113" s="132"/>
      <c r="F113" s="133"/>
      <c r="G113" s="132"/>
      <c r="H113" s="134"/>
      <c r="I113" t="s" s="135">
        <f>IF(ISBLANK(C113),"",IF(L113="L","Baixa",IF(L113="A","Média",IF(L113="","","Alta"))))</f>
      </c>
      <c r="J113" t="s" s="136">
        <f>CONCATENATE(C113,L113)</f>
      </c>
      <c r="K113" t="s" s="136">
        <f>IF(ISBLANK(C113),"",IF(C113="ALI",IF(L113="L",7,IF(L113="A",10,15)),IF(C113="AIE",IF(L113="L",5,IF(L113="A",7,10)),IF(C113="SE",IF(L113="L",4,IF(L113="A",5,7)),IF(OR(C113="EE",C113="CE"),IF(L113="L",3,IF(L113="A",4,6)),0)))))</f>
      </c>
      <c r="L113" t="s" s="137">
        <f>IF(OR(ISBLANK(E113),ISBLANK(G113)),IF(OR(C113="ALI",C113="AIE"),"L",IF(OR(C113="EE",C113="SE",C113="CE"),"A","")),IF(C113="EE",IF(G113&gt;=3,IF(E113&gt;=5,"H","A"),IF(G113&gt;=2,IF(E113&gt;=16,"H",IF(E113&lt;=4,"L","A")),IF(E113&lt;=15,"L","A"))),IF(OR(C113="SE",C113="CE"),IF(G113&gt;=4,IF(E113&gt;=6,"H","A"),IF(G113&gt;=2,IF(E113&gt;=20,"H",IF(E113&lt;=5,"L","A")),IF(E113&lt;=19,"L","A"))),IF(OR(C113="ALI",C113="AIE"),IF(G113&gt;=6,IF(E113&gt;=20,"H","A"),IF(G113&gt;=2,IF(E113&gt;=51,"H",IF(E113&lt;=19,"L","A")),IF(E113&lt;=50,"L","A"))),""))))</f>
      </c>
      <c r="M113" t="s" s="136">
        <f>CONCATENATE(C113,D113)</f>
      </c>
      <c r="N113" t="s" s="136">
        <f>IF(OR(K113="",K113=0),O113,K113)</f>
      </c>
      <c r="O113" t="s" s="138">
        <f>_xlfn.IFERROR(IF(NOT(ISERROR(VLOOKUP(C113,'Deflatores Sisp'!G$42:H$70,2,FALSE))),VLOOKUP(C113,'Deflatores Sisp'!G$42:H$70,2,FALSE),IF(OR(ISBLANK(D113),ISBLANK(C113)),"",VLOOKUP(D113,'Deflatores Sisp'!G$4:H$38,2,FALSE)*K113+VLOOKUP(D113,'Deflatores Sisp'!G$4:I$38,3,FALSE)))*W113,"")</f>
      </c>
      <c r="P113" t="s" s="156">
        <v>80</v>
      </c>
      <c r="Q113" t="s" s="136">
        <v>80</v>
      </c>
      <c r="R113" t="s" s="136">
        <v>80</v>
      </c>
      <c r="S113" t="s" s="136">
        <v>80</v>
      </c>
      <c r="T113" s="149"/>
      <c r="U113" t="s" s="136">
        <v>80</v>
      </c>
      <c r="V113" s="141"/>
      <c r="W113" s="142">
        <f>IF(V113="",SUM(Z113:AE113),IF(C113="PA",E113,100%))</f>
        <v>0.95</v>
      </c>
      <c r="X113" s="143"/>
      <c r="Y113" s="144"/>
      <c r="Z113" s="145">
        <f>IF(P113="x",25%,0)</f>
        <v>0.25</v>
      </c>
      <c r="AA113" s="145">
        <f>IF(Q113="x",10%,0)</f>
        <v>0.1</v>
      </c>
      <c r="AB113" s="145">
        <f>IF(R113="x",40%,0)</f>
        <v>0.4</v>
      </c>
      <c r="AC113" s="145">
        <f>IF(S113="x",15%,0)</f>
        <v>0.15</v>
      </c>
      <c r="AD113" s="145">
        <f>IF(T113="x",5%,0)</f>
        <v>0</v>
      </c>
      <c r="AE113" s="145">
        <f>IF(U113="x",5%,0)</f>
        <v>0.05</v>
      </c>
    </row>
    <row r="114" s="90" customFormat="1" ht="33" customHeight="1">
      <c r="A114" s="133"/>
      <c r="C114" s="170"/>
      <c r="D114" s="132"/>
      <c r="E114" s="132"/>
      <c r="F114" s="133"/>
      <c r="G114" s="132"/>
      <c r="H114" s="134"/>
      <c r="I114" t="s" s="135">
        <f>IF(ISBLANK(C114),"",IF(L114="L","Baixa",IF(L114="A","Média",IF(L114="","","Alta"))))</f>
      </c>
      <c r="J114" t="s" s="136">
        <f>CONCATENATE(C114,L114)</f>
      </c>
      <c r="K114" t="s" s="136">
        <f>IF(ISBLANK(C114),"",IF(C114="ALI",IF(L114="L",7,IF(L114="A",10,15)),IF(C114="AIE",IF(L114="L",5,IF(L114="A",7,10)),IF(C114="SE",IF(L114="L",4,IF(L114="A",5,7)),IF(OR(C114="EE",C114="CE"),IF(L114="L",3,IF(L114="A",4,6)),0)))))</f>
      </c>
      <c r="L114" t="s" s="137">
        <f>IF(OR(ISBLANK(E114),ISBLANK(G114)),IF(OR(C114="ALI",C114="AIE"),"L",IF(OR(C114="EE",C114="SE",C114="CE"),"A","")),IF(C114="EE",IF(G114&gt;=3,IF(E114&gt;=5,"H","A"),IF(G114&gt;=2,IF(E114&gt;=16,"H",IF(E114&lt;=4,"L","A")),IF(E114&lt;=15,"L","A"))),IF(OR(C114="SE",C114="CE"),IF(G114&gt;=4,IF(E114&gt;=6,"H","A"),IF(G114&gt;=2,IF(E114&gt;=20,"H",IF(E114&lt;=5,"L","A")),IF(E114&lt;=19,"L","A"))),IF(OR(C114="ALI",C114="AIE"),IF(G114&gt;=6,IF(E114&gt;=20,"H","A"),IF(G114&gt;=2,IF(E114&gt;=51,"H",IF(E114&lt;=19,"L","A")),IF(E114&lt;=50,"L","A"))),""))))</f>
      </c>
      <c r="M114" t="s" s="136">
        <f>CONCATENATE(C114,D114)</f>
      </c>
      <c r="N114" t="s" s="136">
        <f>IF(OR(K114="",K114=0),O114,K114)</f>
      </c>
      <c r="O114" t="s" s="138">
        <f>_xlfn.IFERROR(IF(NOT(ISERROR(VLOOKUP(C114,'Deflatores Sisp'!G$42:H$70,2,FALSE))),VLOOKUP(C114,'Deflatores Sisp'!G$42:H$70,2,FALSE),IF(OR(ISBLANK(D114),ISBLANK(C114)),"",VLOOKUP(D114,'Deflatores Sisp'!G$4:H$38,2,FALSE)*K114+VLOOKUP(D114,'Deflatores Sisp'!G$4:I$38,3,FALSE)))*W114,"")</f>
      </c>
      <c r="P114" t="s" s="156">
        <v>80</v>
      </c>
      <c r="Q114" t="s" s="136">
        <v>80</v>
      </c>
      <c r="R114" t="s" s="136">
        <v>80</v>
      </c>
      <c r="S114" t="s" s="136">
        <v>80</v>
      </c>
      <c r="T114" s="149"/>
      <c r="U114" t="s" s="136">
        <v>80</v>
      </c>
      <c r="V114" s="141"/>
      <c r="W114" s="142">
        <f>IF(V114="",SUM(Z114:AE114),IF(C114="PA",E114,100%))</f>
        <v>0.95</v>
      </c>
      <c r="X114" s="143"/>
      <c r="Y114" s="144"/>
      <c r="Z114" s="145">
        <f>IF(P114="x",25%,0)</f>
        <v>0.25</v>
      </c>
      <c r="AA114" s="145">
        <f>IF(Q114="x",10%,0)</f>
        <v>0.1</v>
      </c>
      <c r="AB114" s="145">
        <f>IF(R114="x",40%,0)</f>
        <v>0.4</v>
      </c>
      <c r="AC114" s="145">
        <f>IF(S114="x",15%,0)</f>
        <v>0.15</v>
      </c>
      <c r="AD114" s="145">
        <f>IF(T114="x",5%,0)</f>
        <v>0</v>
      </c>
      <c r="AE114" s="145">
        <f>IF(U114="x",5%,0)</f>
        <v>0.05</v>
      </c>
    </row>
    <row r="115" s="90" customFormat="1" ht="33" customHeight="1">
      <c r="A115" s="133"/>
      <c r="C115" s="170"/>
      <c r="D115" s="132"/>
      <c r="E115" s="132"/>
      <c r="F115" s="133"/>
      <c r="G115" s="132"/>
      <c r="H115" s="134"/>
      <c r="I115" t="s" s="135">
        <f>IF(ISBLANK(C115),"",IF(L115="L","Baixa",IF(L115="A","Média",IF(L115="","","Alta"))))</f>
      </c>
      <c r="J115" t="s" s="136">
        <f>CONCATENATE(C115,L115)</f>
      </c>
      <c r="K115" t="s" s="136">
        <f>IF(ISBLANK(C115),"",IF(C115="ALI",IF(L115="L",7,IF(L115="A",10,15)),IF(C115="AIE",IF(L115="L",5,IF(L115="A",7,10)),IF(C115="SE",IF(L115="L",4,IF(L115="A",5,7)),IF(OR(C115="EE",C115="CE"),IF(L115="L",3,IF(L115="A",4,6)),0)))))</f>
      </c>
      <c r="L115" t="s" s="137">
        <f>IF(OR(ISBLANK(E115),ISBLANK(G115)),IF(OR(C115="ALI",C115="AIE"),"L",IF(OR(C115="EE",C115="SE",C115="CE"),"A","")),IF(C115="EE",IF(G115&gt;=3,IF(E115&gt;=5,"H","A"),IF(G115&gt;=2,IF(E115&gt;=16,"H",IF(E115&lt;=4,"L","A")),IF(E115&lt;=15,"L","A"))),IF(OR(C115="SE",C115="CE"),IF(G115&gt;=4,IF(E115&gt;=6,"H","A"),IF(G115&gt;=2,IF(E115&gt;=20,"H",IF(E115&lt;=5,"L","A")),IF(E115&lt;=19,"L","A"))),IF(OR(C115="ALI",C115="AIE"),IF(G115&gt;=6,IF(E115&gt;=20,"H","A"),IF(G115&gt;=2,IF(E115&gt;=51,"H",IF(E115&lt;=19,"L","A")),IF(E115&lt;=50,"L","A"))),""))))</f>
      </c>
      <c r="M115" t="s" s="136">
        <f>CONCATENATE(C115,D115)</f>
      </c>
      <c r="N115" t="s" s="136">
        <f>IF(OR(K115="",K115=0),O115,K115)</f>
      </c>
      <c r="O115" t="s" s="138">
        <f>_xlfn.IFERROR(IF(NOT(ISERROR(VLOOKUP(C115,'Deflatores Sisp'!G$42:H$70,2,FALSE))),VLOOKUP(C115,'Deflatores Sisp'!G$42:H$70,2,FALSE),IF(OR(ISBLANK(D115),ISBLANK(C115)),"",VLOOKUP(D115,'Deflatores Sisp'!G$4:H$38,2,FALSE)*K115+VLOOKUP(D115,'Deflatores Sisp'!G$4:I$38,3,FALSE)))*W115,"")</f>
      </c>
      <c r="P115" t="s" s="156">
        <v>80</v>
      </c>
      <c r="Q115" t="s" s="136">
        <v>80</v>
      </c>
      <c r="R115" t="s" s="136">
        <v>80</v>
      </c>
      <c r="S115" t="s" s="136">
        <v>80</v>
      </c>
      <c r="T115" s="149"/>
      <c r="U115" t="s" s="136">
        <v>80</v>
      </c>
      <c r="V115" s="141"/>
      <c r="W115" s="142">
        <f>IF(V115="",SUM(Z115:AE115),IF(C115="PA",E115,100%))</f>
        <v>0.95</v>
      </c>
      <c r="X115" s="143"/>
      <c r="Y115" s="144"/>
      <c r="Z115" s="145">
        <f>IF(P115="x",25%,0)</f>
        <v>0.25</v>
      </c>
      <c r="AA115" s="145">
        <f>IF(Q115="x",10%,0)</f>
        <v>0.1</v>
      </c>
      <c r="AB115" s="145">
        <f>IF(R115="x",40%,0)</f>
        <v>0.4</v>
      </c>
      <c r="AC115" s="145">
        <f>IF(S115="x",15%,0)</f>
        <v>0.15</v>
      </c>
      <c r="AD115" s="145">
        <f>IF(T115="x",5%,0)</f>
        <v>0</v>
      </c>
      <c r="AE115" s="145">
        <f>IF(U115="x",5%,0)</f>
        <v>0.05</v>
      </c>
    </row>
    <row r="116" s="90" customFormat="1" ht="33" customHeight="1">
      <c r="A116" s="133"/>
      <c r="C116" s="170"/>
      <c r="D116" s="132"/>
      <c r="E116" s="132"/>
      <c r="F116" s="133"/>
      <c r="G116" s="132"/>
      <c r="H116" s="134"/>
      <c r="I116" t="s" s="135">
        <f>IF(ISBLANK(C116),"",IF(L116="L","Baixa",IF(L116="A","Média",IF(L116="","","Alta"))))</f>
      </c>
      <c r="J116" t="s" s="136">
        <f>CONCATENATE(C116,L116)</f>
      </c>
      <c r="K116" t="s" s="136">
        <f>IF(ISBLANK(C116),"",IF(C116="ALI",IF(L116="L",7,IF(L116="A",10,15)),IF(C116="AIE",IF(L116="L",5,IF(L116="A",7,10)),IF(C116="SE",IF(L116="L",4,IF(L116="A",5,7)),IF(OR(C116="EE",C116="CE"),IF(L116="L",3,IF(L116="A",4,6)),0)))))</f>
      </c>
      <c r="L116" t="s" s="137">
        <f>IF(OR(ISBLANK(E116),ISBLANK(G116)),IF(OR(C116="ALI",C116="AIE"),"L",IF(OR(C116="EE",C116="SE",C116="CE"),"A","")),IF(C116="EE",IF(G116&gt;=3,IF(E116&gt;=5,"H","A"),IF(G116&gt;=2,IF(E116&gt;=16,"H",IF(E116&lt;=4,"L","A")),IF(E116&lt;=15,"L","A"))),IF(OR(C116="SE",C116="CE"),IF(G116&gt;=4,IF(E116&gt;=6,"H","A"),IF(G116&gt;=2,IF(E116&gt;=20,"H",IF(E116&lt;=5,"L","A")),IF(E116&lt;=19,"L","A"))),IF(OR(C116="ALI",C116="AIE"),IF(G116&gt;=6,IF(E116&gt;=20,"H","A"),IF(G116&gt;=2,IF(E116&gt;=51,"H",IF(E116&lt;=19,"L","A")),IF(E116&lt;=50,"L","A"))),""))))</f>
      </c>
      <c r="M116" t="s" s="136">
        <f>CONCATENATE(C116,D116)</f>
      </c>
      <c r="N116" t="s" s="136">
        <f>IF(OR(K116="",K116=0),O116,K116)</f>
      </c>
      <c r="O116" t="s" s="138">
        <f>_xlfn.IFERROR(IF(NOT(ISERROR(VLOOKUP(C116,'Deflatores Sisp'!G$42:H$70,2,FALSE))),VLOOKUP(C116,'Deflatores Sisp'!G$42:H$70,2,FALSE),IF(OR(ISBLANK(D116),ISBLANK(C116)),"",VLOOKUP(D116,'Deflatores Sisp'!G$4:H$38,2,FALSE)*K116+VLOOKUP(D116,'Deflatores Sisp'!G$4:I$38,3,FALSE)))*W116,"")</f>
      </c>
      <c r="P116" t="s" s="156">
        <v>80</v>
      </c>
      <c r="Q116" t="s" s="136">
        <v>80</v>
      </c>
      <c r="R116" t="s" s="136">
        <v>80</v>
      </c>
      <c r="S116" t="s" s="136">
        <v>80</v>
      </c>
      <c r="T116" s="149"/>
      <c r="U116" t="s" s="136">
        <v>80</v>
      </c>
      <c r="V116" s="141"/>
      <c r="W116" s="142">
        <f>IF(V116="",SUM(Z116:AE116),IF(C116="PA",E116,100%))</f>
        <v>0.95</v>
      </c>
      <c r="X116" s="143"/>
      <c r="Y116" s="144"/>
      <c r="Z116" s="145">
        <f>IF(P116="x",25%,0)</f>
        <v>0.25</v>
      </c>
      <c r="AA116" s="145">
        <f>IF(Q116="x",10%,0)</f>
        <v>0.1</v>
      </c>
      <c r="AB116" s="145">
        <f>IF(R116="x",40%,0)</f>
        <v>0.4</v>
      </c>
      <c r="AC116" s="145">
        <f>IF(S116="x",15%,0)</f>
        <v>0.15</v>
      </c>
      <c r="AD116" s="145">
        <f>IF(T116="x",5%,0)</f>
        <v>0</v>
      </c>
      <c r="AE116" s="145">
        <f>IF(U116="x",5%,0)</f>
        <v>0.05</v>
      </c>
    </row>
    <row r="117" s="90" customFormat="1" ht="33" customHeight="1">
      <c r="A117" s="133"/>
      <c r="C117" s="170"/>
      <c r="D117" s="132"/>
      <c r="E117" s="132"/>
      <c r="F117" s="133"/>
      <c r="G117" s="132"/>
      <c r="H117" s="134"/>
      <c r="I117" t="s" s="135">
        <f>IF(ISBLANK(C117),"",IF(L117="L","Baixa",IF(L117="A","Média",IF(L117="","","Alta"))))</f>
      </c>
      <c r="J117" t="s" s="136">
        <f>CONCATENATE(C117,L117)</f>
      </c>
      <c r="K117" t="s" s="136">
        <f>IF(ISBLANK(C117),"",IF(C117="ALI",IF(L117="L",7,IF(L117="A",10,15)),IF(C117="AIE",IF(L117="L",5,IF(L117="A",7,10)),IF(C117="SE",IF(L117="L",4,IF(L117="A",5,7)),IF(OR(C117="EE",C117="CE"),IF(L117="L",3,IF(L117="A",4,6)),0)))))</f>
      </c>
      <c r="L117" t="s" s="137">
        <f>IF(OR(ISBLANK(E117),ISBLANK(G117)),IF(OR(C117="ALI",C117="AIE"),"L",IF(OR(C117="EE",C117="SE",C117="CE"),"A","")),IF(C117="EE",IF(G117&gt;=3,IF(E117&gt;=5,"H","A"),IF(G117&gt;=2,IF(E117&gt;=16,"H",IF(E117&lt;=4,"L","A")),IF(E117&lt;=15,"L","A"))),IF(OR(C117="SE",C117="CE"),IF(G117&gt;=4,IF(E117&gt;=6,"H","A"),IF(G117&gt;=2,IF(E117&gt;=20,"H",IF(E117&lt;=5,"L","A")),IF(E117&lt;=19,"L","A"))),IF(OR(C117="ALI",C117="AIE"),IF(G117&gt;=6,IF(E117&gt;=20,"H","A"),IF(G117&gt;=2,IF(E117&gt;=51,"H",IF(E117&lt;=19,"L","A")),IF(E117&lt;=50,"L","A"))),""))))</f>
      </c>
      <c r="M117" t="s" s="136">
        <f>CONCATENATE(C117,D117)</f>
      </c>
      <c r="N117" t="s" s="136">
        <f>IF(OR(K117="",K117=0),O117,K117)</f>
      </c>
      <c r="O117" t="s" s="138">
        <f>_xlfn.IFERROR(IF(NOT(ISERROR(VLOOKUP(C117,'Deflatores Sisp'!G$42:H$70,2,FALSE))),VLOOKUP(C117,'Deflatores Sisp'!G$42:H$70,2,FALSE),IF(OR(ISBLANK(D117),ISBLANK(C117)),"",VLOOKUP(D117,'Deflatores Sisp'!G$4:H$38,2,FALSE)*K117+VLOOKUP(D117,'Deflatores Sisp'!G$4:I$38,3,FALSE)))*W117,"")</f>
      </c>
      <c r="P117" t="s" s="156">
        <v>80</v>
      </c>
      <c r="Q117" t="s" s="136">
        <v>80</v>
      </c>
      <c r="R117" t="s" s="136">
        <v>80</v>
      </c>
      <c r="S117" t="s" s="136">
        <v>80</v>
      </c>
      <c r="T117" s="149"/>
      <c r="U117" t="s" s="136">
        <v>80</v>
      </c>
      <c r="V117" s="141"/>
      <c r="W117" s="142">
        <f>IF(V117="",SUM(Z117:AE117),IF(C117="PA",E117,100%))</f>
        <v>0.95</v>
      </c>
      <c r="X117" s="143"/>
      <c r="Y117" s="144"/>
      <c r="Z117" s="145">
        <f>IF(P117="x",25%,0)</f>
        <v>0.25</v>
      </c>
      <c r="AA117" s="145">
        <f>IF(Q117="x",10%,0)</f>
        <v>0.1</v>
      </c>
      <c r="AB117" s="145">
        <f>IF(R117="x",40%,0)</f>
        <v>0.4</v>
      </c>
      <c r="AC117" s="145">
        <f>IF(S117="x",15%,0)</f>
        <v>0.15</v>
      </c>
      <c r="AD117" s="145">
        <f>IF(T117="x",5%,0)</f>
        <v>0</v>
      </c>
      <c r="AE117" s="145">
        <f>IF(U117="x",5%,0)</f>
        <v>0.05</v>
      </c>
    </row>
    <row r="118" s="90" customFormat="1" ht="33" customHeight="1">
      <c r="A118" s="133"/>
      <c r="C118" s="170"/>
      <c r="D118" s="132"/>
      <c r="E118" s="132"/>
      <c r="F118" s="133"/>
      <c r="G118" s="132"/>
      <c r="H118" s="134"/>
      <c r="I118" t="s" s="135">
        <f>IF(ISBLANK(C118),"",IF(L118="L","Baixa",IF(L118="A","Média",IF(L118="","","Alta"))))</f>
      </c>
      <c r="J118" t="s" s="136">
        <f>CONCATENATE(C118,L118)</f>
      </c>
      <c r="K118" t="s" s="136">
        <f>IF(ISBLANK(C118),"",IF(C118="ALI",IF(L118="L",7,IF(L118="A",10,15)),IF(C118="AIE",IF(L118="L",5,IF(L118="A",7,10)),IF(C118="SE",IF(L118="L",4,IF(L118="A",5,7)),IF(OR(C118="EE",C118="CE"),IF(L118="L",3,IF(L118="A",4,6)),0)))))</f>
      </c>
      <c r="L118" t="s" s="137">
        <f>IF(OR(ISBLANK(E118),ISBLANK(G118)),IF(OR(C118="ALI",C118="AIE"),"L",IF(OR(C118="EE",C118="SE",C118="CE"),"A","")),IF(C118="EE",IF(G118&gt;=3,IF(E118&gt;=5,"H","A"),IF(G118&gt;=2,IF(E118&gt;=16,"H",IF(E118&lt;=4,"L","A")),IF(E118&lt;=15,"L","A"))),IF(OR(C118="SE",C118="CE"),IF(G118&gt;=4,IF(E118&gt;=6,"H","A"),IF(G118&gt;=2,IF(E118&gt;=20,"H",IF(E118&lt;=5,"L","A")),IF(E118&lt;=19,"L","A"))),IF(OR(C118="ALI",C118="AIE"),IF(G118&gt;=6,IF(E118&gt;=20,"H","A"),IF(G118&gt;=2,IF(E118&gt;=51,"H",IF(E118&lt;=19,"L","A")),IF(E118&lt;=50,"L","A"))),""))))</f>
      </c>
      <c r="M118" t="s" s="136">
        <f>CONCATENATE(C118,D118)</f>
      </c>
      <c r="N118" t="s" s="136">
        <f>IF(OR(K118="",K118=0),O118,K118)</f>
      </c>
      <c r="O118" t="s" s="138">
        <f>_xlfn.IFERROR(IF(NOT(ISERROR(VLOOKUP(C118,'Deflatores Sisp'!G$42:H$70,2,FALSE))),VLOOKUP(C118,'Deflatores Sisp'!G$42:H$70,2,FALSE),IF(OR(ISBLANK(D118),ISBLANK(C118)),"",VLOOKUP(D118,'Deflatores Sisp'!G$4:H$38,2,FALSE)*K118+VLOOKUP(D118,'Deflatores Sisp'!G$4:I$38,3,FALSE)))*W118,"")</f>
      </c>
      <c r="P118" t="s" s="156">
        <v>80</v>
      </c>
      <c r="Q118" t="s" s="136">
        <v>80</v>
      </c>
      <c r="R118" t="s" s="136">
        <v>80</v>
      </c>
      <c r="S118" t="s" s="136">
        <v>80</v>
      </c>
      <c r="T118" s="149"/>
      <c r="U118" t="s" s="136">
        <v>80</v>
      </c>
      <c r="V118" s="141"/>
      <c r="W118" s="142">
        <f>IF(V118="",SUM(Z118:AE118),IF(C118="PA",E118,100%))</f>
        <v>0.95</v>
      </c>
      <c r="X118" s="143"/>
      <c r="Y118" s="144"/>
      <c r="Z118" s="145">
        <f>IF(P118="x",25%,0)</f>
        <v>0.25</v>
      </c>
      <c r="AA118" s="145">
        <f>IF(Q118="x",10%,0)</f>
        <v>0.1</v>
      </c>
      <c r="AB118" s="145">
        <f>IF(R118="x",40%,0)</f>
        <v>0.4</v>
      </c>
      <c r="AC118" s="145">
        <f>IF(S118="x",15%,0)</f>
        <v>0.15</v>
      </c>
      <c r="AD118" s="145">
        <f>IF(T118="x",5%,0)</f>
        <v>0</v>
      </c>
      <c r="AE118" s="145">
        <f>IF(U118="x",5%,0)</f>
        <v>0.05</v>
      </c>
    </row>
    <row r="119" s="90" customFormat="1" ht="33" customHeight="1">
      <c r="A119" s="133"/>
      <c r="C119" s="170"/>
      <c r="D119" s="132"/>
      <c r="E119" s="132"/>
      <c r="F119" s="133"/>
      <c r="G119" s="132"/>
      <c r="H119" s="134"/>
      <c r="I119" t="s" s="135">
        <f>IF(ISBLANK(C119),"",IF(L119="L","Baixa",IF(L119="A","Média",IF(L119="","","Alta"))))</f>
      </c>
      <c r="J119" t="s" s="136">
        <f>CONCATENATE(C119,L119)</f>
      </c>
      <c r="K119" t="s" s="136">
        <f>IF(ISBLANK(C119),"",IF(C119="ALI",IF(L119="L",7,IF(L119="A",10,15)),IF(C119="AIE",IF(L119="L",5,IF(L119="A",7,10)),IF(C119="SE",IF(L119="L",4,IF(L119="A",5,7)),IF(OR(C119="EE",C119="CE"),IF(L119="L",3,IF(L119="A",4,6)),0)))))</f>
      </c>
      <c r="L119" t="s" s="137">
        <f>IF(OR(ISBLANK(E119),ISBLANK(G119)),IF(OR(C119="ALI",C119="AIE"),"L",IF(OR(C119="EE",C119="SE",C119="CE"),"A","")),IF(C119="EE",IF(G119&gt;=3,IF(E119&gt;=5,"H","A"),IF(G119&gt;=2,IF(E119&gt;=16,"H",IF(E119&lt;=4,"L","A")),IF(E119&lt;=15,"L","A"))),IF(OR(C119="SE",C119="CE"),IF(G119&gt;=4,IF(E119&gt;=6,"H","A"),IF(G119&gt;=2,IF(E119&gt;=20,"H",IF(E119&lt;=5,"L","A")),IF(E119&lt;=19,"L","A"))),IF(OR(C119="ALI",C119="AIE"),IF(G119&gt;=6,IF(E119&gt;=20,"H","A"),IF(G119&gt;=2,IF(E119&gt;=51,"H",IF(E119&lt;=19,"L","A")),IF(E119&lt;=50,"L","A"))),""))))</f>
      </c>
      <c r="M119" t="s" s="136">
        <f>CONCATENATE(C119,D119)</f>
      </c>
      <c r="N119" t="s" s="136">
        <f>IF(OR(K119="",K119=0),O119,K119)</f>
      </c>
      <c r="O119" t="s" s="138">
        <f>_xlfn.IFERROR(IF(NOT(ISERROR(VLOOKUP(C119,'Deflatores Sisp'!G$42:H$70,2,FALSE))),VLOOKUP(C119,'Deflatores Sisp'!G$42:H$70,2,FALSE),IF(OR(ISBLANK(D119),ISBLANK(C119)),"",VLOOKUP(D119,'Deflatores Sisp'!G$4:H$38,2,FALSE)*K119+VLOOKUP(D119,'Deflatores Sisp'!G$4:I$38,3,FALSE)))*W119,"")</f>
      </c>
      <c r="P119" t="s" s="156">
        <v>80</v>
      </c>
      <c r="Q119" t="s" s="136">
        <v>80</v>
      </c>
      <c r="R119" t="s" s="136">
        <v>80</v>
      </c>
      <c r="S119" t="s" s="136">
        <v>80</v>
      </c>
      <c r="T119" s="149"/>
      <c r="U119" t="s" s="136">
        <v>80</v>
      </c>
      <c r="V119" s="141"/>
      <c r="W119" s="142">
        <f>IF(V119="",SUM(Z119:AE119),IF(C119="PA",E119,100%))</f>
        <v>0.95</v>
      </c>
      <c r="X119" s="143"/>
      <c r="Y119" s="144"/>
      <c r="Z119" s="145">
        <f>IF(P119="x",25%,0)</f>
        <v>0.25</v>
      </c>
      <c r="AA119" s="145">
        <f>IF(Q119="x",10%,0)</f>
        <v>0.1</v>
      </c>
      <c r="AB119" s="145">
        <f>IF(R119="x",40%,0)</f>
        <v>0.4</v>
      </c>
      <c r="AC119" s="145">
        <f>IF(S119="x",15%,0)</f>
        <v>0.15</v>
      </c>
      <c r="AD119" s="145">
        <f>IF(T119="x",5%,0)</f>
        <v>0</v>
      </c>
      <c r="AE119" s="145">
        <f>IF(U119="x",5%,0)</f>
        <v>0.05</v>
      </c>
    </row>
    <row r="120" s="90" customFormat="1" ht="33" customHeight="1">
      <c r="A120" s="133"/>
      <c r="C120" s="170"/>
      <c r="D120" s="132"/>
      <c r="E120" s="132"/>
      <c r="F120" s="133"/>
      <c r="G120" s="132"/>
      <c r="H120" s="134"/>
      <c r="I120" t="s" s="135">
        <f>IF(ISBLANK(C120),"",IF(L120="L","Baixa",IF(L120="A","Média",IF(L120="","","Alta"))))</f>
      </c>
      <c r="J120" t="s" s="136">
        <f>CONCATENATE(C120,L120)</f>
      </c>
      <c r="K120" t="s" s="136">
        <f>IF(ISBLANK(C120),"",IF(C120="ALI",IF(L120="L",7,IF(L120="A",10,15)),IF(C120="AIE",IF(L120="L",5,IF(L120="A",7,10)),IF(C120="SE",IF(L120="L",4,IF(L120="A",5,7)),IF(OR(C120="EE",C120="CE"),IF(L120="L",3,IF(L120="A",4,6)),0)))))</f>
      </c>
      <c r="L120" t="s" s="137">
        <f>IF(OR(ISBLANK(E120),ISBLANK(G120)),IF(OR(C120="ALI",C120="AIE"),"L",IF(OR(C120="EE",C120="SE",C120="CE"),"A","")),IF(C120="EE",IF(G120&gt;=3,IF(E120&gt;=5,"H","A"),IF(G120&gt;=2,IF(E120&gt;=16,"H",IF(E120&lt;=4,"L","A")),IF(E120&lt;=15,"L","A"))),IF(OR(C120="SE",C120="CE"),IF(G120&gt;=4,IF(E120&gt;=6,"H","A"),IF(G120&gt;=2,IF(E120&gt;=20,"H",IF(E120&lt;=5,"L","A")),IF(E120&lt;=19,"L","A"))),IF(OR(C120="ALI",C120="AIE"),IF(G120&gt;=6,IF(E120&gt;=20,"H","A"),IF(G120&gt;=2,IF(E120&gt;=51,"H",IF(E120&lt;=19,"L","A")),IF(E120&lt;=50,"L","A"))),""))))</f>
      </c>
      <c r="M120" t="s" s="136">
        <f>CONCATENATE(C120,D120)</f>
      </c>
      <c r="N120" t="s" s="136">
        <f>IF(OR(K120="",K120=0),O120,K120)</f>
      </c>
      <c r="O120" t="s" s="138">
        <f>_xlfn.IFERROR(IF(NOT(ISERROR(VLOOKUP(C120,'Deflatores Sisp'!G$42:H$70,2,FALSE))),VLOOKUP(C120,'Deflatores Sisp'!G$42:H$70,2,FALSE),IF(OR(ISBLANK(D120),ISBLANK(C120)),"",VLOOKUP(D120,'Deflatores Sisp'!G$4:H$38,2,FALSE)*K120+VLOOKUP(D120,'Deflatores Sisp'!G$4:I$38,3,FALSE)))*W120,"")</f>
      </c>
      <c r="P120" t="s" s="156">
        <v>80</v>
      </c>
      <c r="Q120" t="s" s="136">
        <v>80</v>
      </c>
      <c r="R120" t="s" s="136">
        <v>80</v>
      </c>
      <c r="S120" t="s" s="136">
        <v>80</v>
      </c>
      <c r="T120" s="149"/>
      <c r="U120" t="s" s="136">
        <v>80</v>
      </c>
      <c r="V120" s="141"/>
      <c r="W120" s="142">
        <f>IF(V120="",SUM(Z120:AE120),IF(C120="PA",E120,100%))</f>
        <v>0.95</v>
      </c>
      <c r="X120" s="143"/>
      <c r="Y120" s="144"/>
      <c r="Z120" s="145">
        <f>IF(P120="x",25%,0)</f>
        <v>0.25</v>
      </c>
      <c r="AA120" s="145">
        <f>IF(Q120="x",10%,0)</f>
        <v>0.1</v>
      </c>
      <c r="AB120" s="145">
        <f>IF(R120="x",40%,0)</f>
        <v>0.4</v>
      </c>
      <c r="AC120" s="145">
        <f>IF(S120="x",15%,0)</f>
        <v>0.15</v>
      </c>
      <c r="AD120" s="145">
        <f>IF(T120="x",5%,0)</f>
        <v>0</v>
      </c>
      <c r="AE120" s="145">
        <f>IF(U120="x",5%,0)</f>
        <v>0.05</v>
      </c>
    </row>
    <row r="121" s="90" customFormat="1" ht="33" customHeight="1">
      <c r="A121" s="133"/>
      <c r="C121" s="170"/>
      <c r="D121" s="132"/>
      <c r="E121" s="132"/>
      <c r="F121" s="133"/>
      <c r="G121" s="132"/>
      <c r="H121" s="134"/>
      <c r="I121" t="s" s="135">
        <f>IF(ISBLANK(C121),"",IF(L121="L","Baixa",IF(L121="A","Média",IF(L121="","","Alta"))))</f>
      </c>
      <c r="J121" t="s" s="136">
        <f>CONCATENATE(C121,L121)</f>
      </c>
      <c r="K121" t="s" s="136">
        <f>IF(ISBLANK(C121),"",IF(C121="ALI",IF(L121="L",7,IF(L121="A",10,15)),IF(C121="AIE",IF(L121="L",5,IF(L121="A",7,10)),IF(C121="SE",IF(L121="L",4,IF(L121="A",5,7)),IF(OR(C121="EE",C121="CE"),IF(L121="L",3,IF(L121="A",4,6)),0)))))</f>
      </c>
      <c r="L121" t="s" s="137">
        <f>IF(OR(ISBLANK(E121),ISBLANK(G121)),IF(OR(C121="ALI",C121="AIE"),"L",IF(OR(C121="EE",C121="SE",C121="CE"),"A","")),IF(C121="EE",IF(G121&gt;=3,IF(E121&gt;=5,"H","A"),IF(G121&gt;=2,IF(E121&gt;=16,"H",IF(E121&lt;=4,"L","A")),IF(E121&lt;=15,"L","A"))),IF(OR(C121="SE",C121="CE"),IF(G121&gt;=4,IF(E121&gt;=6,"H","A"),IF(G121&gt;=2,IF(E121&gt;=20,"H",IF(E121&lt;=5,"L","A")),IF(E121&lt;=19,"L","A"))),IF(OR(C121="ALI",C121="AIE"),IF(G121&gt;=6,IF(E121&gt;=20,"H","A"),IF(G121&gt;=2,IF(E121&gt;=51,"H",IF(E121&lt;=19,"L","A")),IF(E121&lt;=50,"L","A"))),""))))</f>
      </c>
      <c r="M121" t="s" s="136">
        <f>CONCATENATE(C121,D121)</f>
      </c>
      <c r="N121" t="s" s="136">
        <f>IF(OR(K121="",K121=0),O121,K121)</f>
      </c>
      <c r="O121" t="s" s="138">
        <f>_xlfn.IFERROR(IF(NOT(ISERROR(VLOOKUP(C121,'Deflatores Sisp'!G$42:H$70,2,FALSE))),VLOOKUP(C121,'Deflatores Sisp'!G$42:H$70,2,FALSE),IF(OR(ISBLANK(D121),ISBLANK(C121)),"",VLOOKUP(D121,'Deflatores Sisp'!G$4:H$38,2,FALSE)*K121+VLOOKUP(D121,'Deflatores Sisp'!G$4:I$38,3,FALSE)))*W121,"")</f>
      </c>
      <c r="P121" t="s" s="156">
        <v>80</v>
      </c>
      <c r="Q121" t="s" s="136">
        <v>80</v>
      </c>
      <c r="R121" t="s" s="136">
        <v>80</v>
      </c>
      <c r="S121" t="s" s="136">
        <v>80</v>
      </c>
      <c r="T121" s="149"/>
      <c r="U121" t="s" s="136">
        <v>80</v>
      </c>
      <c r="V121" s="141"/>
      <c r="W121" s="142">
        <f>IF(V121="",SUM(Z121:AE121),IF(C121="PA",E121,100%))</f>
        <v>0.95</v>
      </c>
      <c r="X121" s="143"/>
      <c r="Y121" s="144"/>
      <c r="Z121" s="145">
        <f>IF(P121="x",25%,0)</f>
        <v>0.25</v>
      </c>
      <c r="AA121" s="145">
        <f>IF(Q121="x",10%,0)</f>
        <v>0.1</v>
      </c>
      <c r="AB121" s="145">
        <f>IF(R121="x",40%,0)</f>
        <v>0.4</v>
      </c>
      <c r="AC121" s="145">
        <f>IF(S121="x",15%,0)</f>
        <v>0.15</v>
      </c>
      <c r="AD121" s="145">
        <f>IF(T121="x",5%,0)</f>
        <v>0</v>
      </c>
      <c r="AE121" s="145">
        <f>IF(U121="x",5%,0)</f>
        <v>0.05</v>
      </c>
    </row>
    <row r="122" s="90" customFormat="1" ht="33" customHeight="1">
      <c r="A122" s="133"/>
      <c r="C122" s="170"/>
      <c r="D122" s="132"/>
      <c r="E122" s="132"/>
      <c r="F122" s="133"/>
      <c r="G122" s="132"/>
      <c r="H122" s="134"/>
      <c r="I122" t="s" s="135">
        <f>IF(ISBLANK(C122),"",IF(L122="L","Baixa",IF(L122="A","Média",IF(L122="","","Alta"))))</f>
      </c>
      <c r="J122" t="s" s="136">
        <f>CONCATENATE(C122,L122)</f>
      </c>
      <c r="K122" t="s" s="136">
        <f>IF(ISBLANK(C122),"",IF(C122="ALI",IF(L122="L",7,IF(L122="A",10,15)),IF(C122="AIE",IF(L122="L",5,IF(L122="A",7,10)),IF(C122="SE",IF(L122="L",4,IF(L122="A",5,7)),IF(OR(C122="EE",C122="CE"),IF(L122="L",3,IF(L122="A",4,6)),0)))))</f>
      </c>
      <c r="L122" t="s" s="137">
        <f>IF(OR(ISBLANK(E122),ISBLANK(G122)),IF(OR(C122="ALI",C122="AIE"),"L",IF(OR(C122="EE",C122="SE",C122="CE"),"A","")),IF(C122="EE",IF(G122&gt;=3,IF(E122&gt;=5,"H","A"),IF(G122&gt;=2,IF(E122&gt;=16,"H",IF(E122&lt;=4,"L","A")),IF(E122&lt;=15,"L","A"))),IF(OR(C122="SE",C122="CE"),IF(G122&gt;=4,IF(E122&gt;=6,"H","A"),IF(G122&gt;=2,IF(E122&gt;=20,"H",IF(E122&lt;=5,"L","A")),IF(E122&lt;=19,"L","A"))),IF(OR(C122="ALI",C122="AIE"),IF(G122&gt;=6,IF(E122&gt;=20,"H","A"),IF(G122&gt;=2,IF(E122&gt;=51,"H",IF(E122&lt;=19,"L","A")),IF(E122&lt;=50,"L","A"))),""))))</f>
      </c>
      <c r="M122" t="s" s="136">
        <f>CONCATENATE(C122,D122)</f>
      </c>
      <c r="N122" t="s" s="136">
        <f>IF(OR(K122="",K122=0),O122,K122)</f>
      </c>
      <c r="O122" t="s" s="138">
        <f>_xlfn.IFERROR(IF(NOT(ISERROR(VLOOKUP(C122,'Deflatores Sisp'!G$42:H$70,2,FALSE))),VLOOKUP(C122,'Deflatores Sisp'!G$42:H$70,2,FALSE),IF(OR(ISBLANK(D122),ISBLANK(C122)),"",VLOOKUP(D122,'Deflatores Sisp'!G$4:H$38,2,FALSE)*K122+VLOOKUP(D122,'Deflatores Sisp'!G$4:I$38,3,FALSE)))*W122,"")</f>
      </c>
      <c r="P122" t="s" s="156">
        <v>80</v>
      </c>
      <c r="Q122" t="s" s="136">
        <v>80</v>
      </c>
      <c r="R122" t="s" s="136">
        <v>80</v>
      </c>
      <c r="S122" t="s" s="136">
        <v>80</v>
      </c>
      <c r="T122" s="149"/>
      <c r="U122" t="s" s="136">
        <v>80</v>
      </c>
      <c r="V122" s="141"/>
      <c r="W122" s="142">
        <f>IF(V122="",SUM(Z122:AE122),IF(C122="PA",E122,100%))</f>
        <v>0.95</v>
      </c>
      <c r="X122" s="143"/>
      <c r="Y122" s="144"/>
      <c r="Z122" s="145">
        <f>IF(P122="x",25%,0)</f>
        <v>0.25</v>
      </c>
      <c r="AA122" s="145">
        <f>IF(Q122="x",10%,0)</f>
        <v>0.1</v>
      </c>
      <c r="AB122" s="145">
        <f>IF(R122="x",40%,0)</f>
        <v>0.4</v>
      </c>
      <c r="AC122" s="145">
        <f>IF(S122="x",15%,0)</f>
        <v>0.15</v>
      </c>
      <c r="AD122" s="145">
        <f>IF(T122="x",5%,0)</f>
        <v>0</v>
      </c>
      <c r="AE122" s="145">
        <f>IF(U122="x",5%,0)</f>
        <v>0.05</v>
      </c>
    </row>
    <row r="123" s="90" customFormat="1" ht="33" customHeight="1">
      <c r="A123" s="133"/>
      <c r="C123" s="170"/>
      <c r="D123" s="132"/>
      <c r="E123" s="132"/>
      <c r="F123" s="133"/>
      <c r="G123" s="132"/>
      <c r="H123" s="134"/>
      <c r="I123" t="s" s="135">
        <f>IF(ISBLANK(C123),"",IF(L123="L","Baixa",IF(L123="A","Média",IF(L123="","","Alta"))))</f>
      </c>
      <c r="J123" t="s" s="136">
        <f>CONCATENATE(C123,L123)</f>
      </c>
      <c r="K123" t="s" s="136">
        <f>IF(ISBLANK(C123),"",IF(C123="ALI",IF(L123="L",7,IF(L123="A",10,15)),IF(C123="AIE",IF(L123="L",5,IF(L123="A",7,10)),IF(C123="SE",IF(L123="L",4,IF(L123="A",5,7)),IF(OR(C123="EE",C123="CE"),IF(L123="L",3,IF(L123="A",4,6)),0)))))</f>
      </c>
      <c r="L123" t="s" s="137">
        <f>IF(OR(ISBLANK(E123),ISBLANK(G123)),IF(OR(C123="ALI",C123="AIE"),"L",IF(OR(C123="EE",C123="SE",C123="CE"),"A","")),IF(C123="EE",IF(G123&gt;=3,IF(E123&gt;=5,"H","A"),IF(G123&gt;=2,IF(E123&gt;=16,"H",IF(E123&lt;=4,"L","A")),IF(E123&lt;=15,"L","A"))),IF(OR(C123="SE",C123="CE"),IF(G123&gt;=4,IF(E123&gt;=6,"H","A"),IF(G123&gt;=2,IF(E123&gt;=20,"H",IF(E123&lt;=5,"L","A")),IF(E123&lt;=19,"L","A"))),IF(OR(C123="ALI",C123="AIE"),IF(G123&gt;=6,IF(E123&gt;=20,"H","A"),IF(G123&gt;=2,IF(E123&gt;=51,"H",IF(E123&lt;=19,"L","A")),IF(E123&lt;=50,"L","A"))),""))))</f>
      </c>
      <c r="M123" t="s" s="136">
        <f>CONCATENATE(C123,D123)</f>
      </c>
      <c r="N123" t="s" s="136">
        <f>IF(OR(K123="",K123=0),O123,K123)</f>
      </c>
      <c r="O123" t="s" s="138">
        <f>_xlfn.IFERROR(IF(NOT(ISERROR(VLOOKUP(C123,'Deflatores Sisp'!G$42:H$70,2,FALSE))),VLOOKUP(C123,'Deflatores Sisp'!G$42:H$70,2,FALSE),IF(OR(ISBLANK(D123),ISBLANK(C123)),"",VLOOKUP(D123,'Deflatores Sisp'!G$4:H$38,2,FALSE)*K123+VLOOKUP(D123,'Deflatores Sisp'!G$4:I$38,3,FALSE)))*W123,"")</f>
      </c>
      <c r="P123" t="s" s="156">
        <v>80</v>
      </c>
      <c r="Q123" t="s" s="136">
        <v>80</v>
      </c>
      <c r="R123" t="s" s="136">
        <v>80</v>
      </c>
      <c r="S123" t="s" s="136">
        <v>80</v>
      </c>
      <c r="T123" s="149"/>
      <c r="U123" t="s" s="136">
        <v>80</v>
      </c>
      <c r="V123" s="141"/>
      <c r="W123" s="142">
        <f>IF(V123="",SUM(Z123:AE123),IF(C123="PA",E123,100%))</f>
        <v>0.95</v>
      </c>
      <c r="X123" s="143"/>
      <c r="Y123" s="144"/>
      <c r="Z123" s="145">
        <f>IF(P123="x",25%,0)</f>
        <v>0.25</v>
      </c>
      <c r="AA123" s="145">
        <f>IF(Q123="x",10%,0)</f>
        <v>0.1</v>
      </c>
      <c r="AB123" s="145">
        <f>IF(R123="x",40%,0)</f>
        <v>0.4</v>
      </c>
      <c r="AC123" s="145">
        <f>IF(S123="x",15%,0)</f>
        <v>0.15</v>
      </c>
      <c r="AD123" s="145">
        <f>IF(T123="x",5%,0)</f>
        <v>0</v>
      </c>
      <c r="AE123" s="145">
        <f>IF(U123="x",5%,0)</f>
        <v>0.05</v>
      </c>
    </row>
    <row r="124" s="90" customFormat="1" ht="33" customHeight="1">
      <c r="A124" s="133"/>
      <c r="C124" s="170"/>
      <c r="D124" s="132"/>
      <c r="E124" s="132"/>
      <c r="F124" s="133"/>
      <c r="G124" s="132"/>
      <c r="H124" s="134"/>
      <c r="I124" t="s" s="135">
        <f>IF(ISBLANK(C124),"",IF(L124="L","Baixa",IF(L124="A","Média",IF(L124="","","Alta"))))</f>
      </c>
      <c r="J124" t="s" s="136">
        <f>CONCATENATE(C124,L124)</f>
      </c>
      <c r="K124" t="s" s="136">
        <f>IF(ISBLANK(C124),"",IF(C124="ALI",IF(L124="L",7,IF(L124="A",10,15)),IF(C124="AIE",IF(L124="L",5,IF(L124="A",7,10)),IF(C124="SE",IF(L124="L",4,IF(L124="A",5,7)),IF(OR(C124="EE",C124="CE"),IF(L124="L",3,IF(L124="A",4,6)),0)))))</f>
      </c>
      <c r="L124" t="s" s="137">
        <f>IF(OR(ISBLANK(E124),ISBLANK(G124)),IF(OR(C124="ALI",C124="AIE"),"L",IF(OR(C124="EE",C124="SE",C124="CE"),"A","")),IF(C124="EE",IF(G124&gt;=3,IF(E124&gt;=5,"H","A"),IF(G124&gt;=2,IF(E124&gt;=16,"H",IF(E124&lt;=4,"L","A")),IF(E124&lt;=15,"L","A"))),IF(OR(C124="SE",C124="CE"),IF(G124&gt;=4,IF(E124&gt;=6,"H","A"),IF(G124&gt;=2,IF(E124&gt;=20,"H",IF(E124&lt;=5,"L","A")),IF(E124&lt;=19,"L","A"))),IF(OR(C124="ALI",C124="AIE"),IF(G124&gt;=6,IF(E124&gt;=20,"H","A"),IF(G124&gt;=2,IF(E124&gt;=51,"H",IF(E124&lt;=19,"L","A")),IF(E124&lt;=50,"L","A"))),""))))</f>
      </c>
      <c r="M124" t="s" s="136">
        <f>CONCATENATE(C124,D124)</f>
      </c>
      <c r="N124" t="s" s="136">
        <f>IF(OR(K124="",K124=0),O124,K124)</f>
      </c>
      <c r="O124" t="s" s="138">
        <f>_xlfn.IFERROR(IF(NOT(ISERROR(VLOOKUP(C124,'Deflatores Sisp'!G$42:H$70,2,FALSE))),VLOOKUP(C124,'Deflatores Sisp'!G$42:H$70,2,FALSE),IF(OR(ISBLANK(D124),ISBLANK(C124)),"",VLOOKUP(D124,'Deflatores Sisp'!G$4:H$38,2,FALSE)*K124+VLOOKUP(D124,'Deflatores Sisp'!G$4:I$38,3,FALSE)))*W124,"")</f>
      </c>
      <c r="P124" t="s" s="156">
        <v>80</v>
      </c>
      <c r="Q124" t="s" s="136">
        <v>80</v>
      </c>
      <c r="R124" t="s" s="136">
        <v>80</v>
      </c>
      <c r="S124" t="s" s="136">
        <v>80</v>
      </c>
      <c r="T124" s="149"/>
      <c r="U124" t="s" s="136">
        <v>80</v>
      </c>
      <c r="V124" s="141"/>
      <c r="W124" s="142">
        <f>IF(V124="",SUM(Z124:AE124),IF(C124="PA",E124,100%))</f>
        <v>0.95</v>
      </c>
      <c r="X124" s="143"/>
      <c r="Y124" s="144"/>
      <c r="Z124" s="145">
        <f>IF(P124="x",25%,0)</f>
        <v>0.25</v>
      </c>
      <c r="AA124" s="145">
        <f>IF(Q124="x",10%,0)</f>
        <v>0.1</v>
      </c>
      <c r="AB124" s="145">
        <f>IF(R124="x",40%,0)</f>
        <v>0.4</v>
      </c>
      <c r="AC124" s="145">
        <f>IF(S124="x",15%,0)</f>
        <v>0.15</v>
      </c>
      <c r="AD124" s="145">
        <f>IF(T124="x",5%,0)</f>
        <v>0</v>
      </c>
      <c r="AE124" s="145">
        <f>IF(U124="x",5%,0)</f>
        <v>0.05</v>
      </c>
    </row>
    <row r="125" s="90" customFormat="1" ht="33" customHeight="1">
      <c r="A125" s="133"/>
      <c r="B125" s="133"/>
      <c r="C125" s="132"/>
      <c r="D125" s="132"/>
      <c r="E125" s="132"/>
      <c r="F125" s="133"/>
      <c r="G125" s="132"/>
      <c r="H125" s="134"/>
      <c r="I125" t="s" s="135">
        <f>IF(ISBLANK(C125),"",IF(L125="L","Baixa",IF(L125="A","Média",IF(L125="","","Alta"))))</f>
      </c>
      <c r="J125" t="s" s="136">
        <f>CONCATENATE(C125,L125)</f>
      </c>
      <c r="K125" t="s" s="136">
        <f>IF(ISBLANK(C125),"",IF(C125="ALI",IF(L125="L",7,IF(L125="A",10,15)),IF(C125="AIE",IF(L125="L",5,IF(L125="A",7,10)),IF(C125="SE",IF(L125="L",4,IF(L125="A",5,7)),IF(OR(C125="EE",C125="CE"),IF(L125="L",3,IF(L125="A",4,6)),0)))))</f>
      </c>
      <c r="L125" t="s" s="137">
        <f>IF(OR(ISBLANK(E125),ISBLANK(G125)),IF(OR(C125="ALI",C125="AIE"),"L",IF(OR(C125="EE",C125="SE",C125="CE"),"A","")),IF(C125="EE",IF(G125&gt;=3,IF(E125&gt;=5,"H","A"),IF(G125&gt;=2,IF(E125&gt;=16,"H",IF(E125&lt;=4,"L","A")),IF(E125&lt;=15,"L","A"))),IF(OR(C125="SE",C125="CE"),IF(G125&gt;=4,IF(E125&gt;=6,"H","A"),IF(G125&gt;=2,IF(E125&gt;=20,"H",IF(E125&lt;=5,"L","A")),IF(E125&lt;=19,"L","A"))),IF(OR(C125="ALI",C125="AIE"),IF(G125&gt;=6,IF(E125&gt;=20,"H","A"),IF(G125&gt;=2,IF(E125&gt;=51,"H",IF(E125&lt;=19,"L","A")),IF(E125&lt;=50,"L","A"))),""))))</f>
      </c>
      <c r="M125" t="s" s="136">
        <f>CONCATENATE(C125,D125)</f>
      </c>
      <c r="N125" t="s" s="136">
        <f>IF(OR(K125="",K125=0),O125,K125)</f>
      </c>
      <c r="O125" t="s" s="138">
        <f>_xlfn.IFERROR(IF(NOT(ISERROR(VLOOKUP(C125,'Deflatores Sisp'!G$42:H$70,2,FALSE))),VLOOKUP(C125,'Deflatores Sisp'!G$42:H$70,2,FALSE),IF(OR(ISBLANK(D125),ISBLANK(C125)),"",VLOOKUP(D125,'Deflatores Sisp'!G$4:H$38,2,FALSE)*K125+VLOOKUP(D125,'Deflatores Sisp'!G$4:I$38,3,FALSE)))*W125,"")</f>
      </c>
      <c r="P125" t="s" s="156">
        <v>80</v>
      </c>
      <c r="Q125" t="s" s="136">
        <v>80</v>
      </c>
      <c r="R125" t="s" s="136">
        <v>80</v>
      </c>
      <c r="S125" t="s" s="136">
        <v>80</v>
      </c>
      <c r="T125" s="149"/>
      <c r="U125" t="s" s="136">
        <v>80</v>
      </c>
      <c r="V125" s="141"/>
      <c r="W125" s="142">
        <f>IF(V125="",SUM(Z125:AE125),IF(C125="PA",E125,100%))</f>
        <v>0.95</v>
      </c>
      <c r="X125" s="143"/>
      <c r="Y125" s="144"/>
      <c r="Z125" s="145">
        <f>IF(P125="x",25%,0)</f>
        <v>0.25</v>
      </c>
      <c r="AA125" s="145">
        <f>IF(Q125="x",10%,0)</f>
        <v>0.1</v>
      </c>
      <c r="AB125" s="145">
        <f>IF(R125="x",40%,0)</f>
        <v>0.4</v>
      </c>
      <c r="AC125" s="145">
        <f>IF(S125="x",15%,0)</f>
        <v>0.15</v>
      </c>
      <c r="AD125" s="145">
        <f>IF(T125="x",5%,0)</f>
        <v>0</v>
      </c>
      <c r="AE125" s="145">
        <f>IF(U125="x",5%,0)</f>
        <v>0.05</v>
      </c>
    </row>
    <row r="126" s="90" customFormat="1" ht="33" customHeight="1">
      <c r="A126" s="133"/>
      <c r="B126" s="133"/>
      <c r="C126" s="132"/>
      <c r="D126" s="132"/>
      <c r="E126" s="132"/>
      <c r="F126" s="133"/>
      <c r="G126" s="132"/>
      <c r="H126" s="134"/>
      <c r="I126" t="s" s="135">
        <f>IF(ISBLANK(C126),"",IF(L126="L","Baixa",IF(L126="A","Média",IF(L126="","","Alta"))))</f>
      </c>
      <c r="J126" t="s" s="136">
        <f>CONCATENATE(C126,L126)</f>
      </c>
      <c r="K126" t="s" s="136">
        <f>IF(ISBLANK(C126),"",IF(C126="ALI",IF(L126="L",7,IF(L126="A",10,15)),IF(C126="AIE",IF(L126="L",5,IF(L126="A",7,10)),IF(C126="SE",IF(L126="L",4,IF(L126="A",5,7)),IF(OR(C126="EE",C126="CE"),IF(L126="L",3,IF(L126="A",4,6)),0)))))</f>
      </c>
      <c r="L126" t="s" s="137">
        <f>IF(OR(ISBLANK(E126),ISBLANK(G126)),IF(OR(C126="ALI",C126="AIE"),"L",IF(OR(C126="EE",C126="SE",C126="CE"),"A","")),IF(C126="EE",IF(G126&gt;=3,IF(E126&gt;=5,"H","A"),IF(G126&gt;=2,IF(E126&gt;=16,"H",IF(E126&lt;=4,"L","A")),IF(E126&lt;=15,"L","A"))),IF(OR(C126="SE",C126="CE"),IF(G126&gt;=4,IF(E126&gt;=6,"H","A"),IF(G126&gt;=2,IF(E126&gt;=20,"H",IF(E126&lt;=5,"L","A")),IF(E126&lt;=19,"L","A"))),IF(OR(C126="ALI",C126="AIE"),IF(G126&gt;=6,IF(E126&gt;=20,"H","A"),IF(G126&gt;=2,IF(E126&gt;=51,"H",IF(E126&lt;=19,"L","A")),IF(E126&lt;=50,"L","A"))),""))))</f>
      </c>
      <c r="M126" t="s" s="136">
        <f>CONCATENATE(C126,D126)</f>
      </c>
      <c r="N126" t="s" s="136">
        <f>IF(OR(K126="",K126=0),O126,K126)</f>
      </c>
      <c r="O126" t="s" s="138">
        <f>_xlfn.IFERROR(IF(NOT(ISERROR(VLOOKUP(C126,'Deflatores Sisp'!G$42:H$70,2,FALSE))),VLOOKUP(C126,'Deflatores Sisp'!G$42:H$70,2,FALSE),IF(OR(ISBLANK(D126),ISBLANK(C126)),"",VLOOKUP(D126,'Deflatores Sisp'!G$4:H$38,2,FALSE)*K126+VLOOKUP(D126,'Deflatores Sisp'!G$4:I$38,3,FALSE)))*W126,"")</f>
      </c>
      <c r="P126" t="s" s="156">
        <v>80</v>
      </c>
      <c r="Q126" t="s" s="136">
        <v>80</v>
      </c>
      <c r="R126" t="s" s="136">
        <v>80</v>
      </c>
      <c r="S126" t="s" s="136">
        <v>80</v>
      </c>
      <c r="T126" s="149"/>
      <c r="U126" t="s" s="136">
        <v>80</v>
      </c>
      <c r="V126" s="141"/>
      <c r="W126" s="142">
        <f>IF(V126="",SUM(Z126:AE126),IF(C126="PA",E126,100%))</f>
        <v>0.95</v>
      </c>
      <c r="X126" s="143"/>
      <c r="Y126" s="144"/>
      <c r="Z126" s="145">
        <f>IF(P126="x",25%,0)</f>
        <v>0.25</v>
      </c>
      <c r="AA126" s="145">
        <f>IF(Q126="x",10%,0)</f>
        <v>0.1</v>
      </c>
      <c r="AB126" s="145">
        <f>IF(R126="x",40%,0)</f>
        <v>0.4</v>
      </c>
      <c r="AC126" s="145">
        <f>IF(S126="x",15%,0)</f>
        <v>0.15</v>
      </c>
      <c r="AD126" s="145">
        <f>IF(T126="x",5%,0)</f>
        <v>0</v>
      </c>
      <c r="AE126" s="145">
        <f>IF(U126="x",5%,0)</f>
        <v>0.05</v>
      </c>
    </row>
    <row r="127" s="90" customFormat="1" ht="33" customHeight="1">
      <c r="A127" s="133"/>
      <c r="B127" s="133"/>
      <c r="C127" s="132"/>
      <c r="D127" s="132"/>
      <c r="E127" s="132"/>
      <c r="F127" s="133"/>
      <c r="G127" s="132"/>
      <c r="H127" s="134"/>
      <c r="I127" t="s" s="135">
        <f>IF(ISBLANK(C127),"",IF(L127="L","Baixa",IF(L127="A","Média",IF(L127="","","Alta"))))</f>
      </c>
      <c r="J127" t="s" s="136">
        <f>CONCATENATE(C127,L127)</f>
      </c>
      <c r="K127" t="s" s="136">
        <f>IF(ISBLANK(C127),"",IF(C127="ALI",IF(L127="L",7,IF(L127="A",10,15)),IF(C127="AIE",IF(L127="L",5,IF(L127="A",7,10)),IF(C127="SE",IF(L127="L",4,IF(L127="A",5,7)),IF(OR(C127="EE",C127="CE"),IF(L127="L",3,IF(L127="A",4,6)),0)))))</f>
      </c>
      <c r="L127" t="s" s="137">
        <f>IF(OR(ISBLANK(E127),ISBLANK(G127)),IF(OR(C127="ALI",C127="AIE"),"L",IF(OR(C127="EE",C127="SE",C127="CE"),"A","")),IF(C127="EE",IF(G127&gt;=3,IF(E127&gt;=5,"H","A"),IF(G127&gt;=2,IF(E127&gt;=16,"H",IF(E127&lt;=4,"L","A")),IF(E127&lt;=15,"L","A"))),IF(OR(C127="SE",C127="CE"),IF(G127&gt;=4,IF(E127&gt;=6,"H","A"),IF(G127&gt;=2,IF(E127&gt;=20,"H",IF(E127&lt;=5,"L","A")),IF(E127&lt;=19,"L","A"))),IF(OR(C127="ALI",C127="AIE"),IF(G127&gt;=6,IF(E127&gt;=20,"H","A"),IF(G127&gt;=2,IF(E127&gt;=51,"H",IF(E127&lt;=19,"L","A")),IF(E127&lt;=50,"L","A"))),""))))</f>
      </c>
      <c r="M127" t="s" s="136">
        <f>CONCATENATE(C127,D127)</f>
      </c>
      <c r="N127" t="s" s="136">
        <f>IF(OR(K127="",K127=0),O127,K127)</f>
      </c>
      <c r="O127" t="s" s="138">
        <f>_xlfn.IFERROR(IF(NOT(ISERROR(VLOOKUP(C127,'Deflatores Sisp'!G$42:H$70,2,FALSE))),VLOOKUP(C127,'Deflatores Sisp'!G$42:H$70,2,FALSE),IF(OR(ISBLANK(D127),ISBLANK(C127)),"",VLOOKUP(D127,'Deflatores Sisp'!G$4:H$38,2,FALSE)*K127+VLOOKUP(D127,'Deflatores Sisp'!G$4:I$38,3,FALSE)))*W127,"")</f>
      </c>
      <c r="P127" t="s" s="156">
        <v>80</v>
      </c>
      <c r="Q127" t="s" s="136">
        <v>80</v>
      </c>
      <c r="R127" t="s" s="136">
        <v>80</v>
      </c>
      <c r="S127" t="s" s="136">
        <v>80</v>
      </c>
      <c r="T127" s="149"/>
      <c r="U127" t="s" s="136">
        <v>80</v>
      </c>
      <c r="V127" s="141"/>
      <c r="W127" s="142">
        <f>IF(V127="",SUM(Z127:AE127),IF(C127="PA",E127,100%))</f>
        <v>0.95</v>
      </c>
      <c r="X127" s="143"/>
      <c r="Y127" s="144"/>
      <c r="Z127" s="145">
        <f>IF(P127="x",25%,0)</f>
        <v>0.25</v>
      </c>
      <c r="AA127" s="145">
        <f>IF(Q127="x",10%,0)</f>
        <v>0.1</v>
      </c>
      <c r="AB127" s="145">
        <f>IF(R127="x",40%,0)</f>
        <v>0.4</v>
      </c>
      <c r="AC127" s="145">
        <f>IF(S127="x",15%,0)</f>
        <v>0.15</v>
      </c>
      <c r="AD127" s="145">
        <f>IF(T127="x",5%,0)</f>
        <v>0</v>
      </c>
      <c r="AE127" s="145">
        <f>IF(U127="x",5%,0)</f>
        <v>0.05</v>
      </c>
    </row>
    <row r="128" s="90" customFormat="1" ht="33" customHeight="1">
      <c r="A128" s="133"/>
      <c r="B128" s="133"/>
      <c r="C128" s="132"/>
      <c r="D128" s="132"/>
      <c r="E128" s="132"/>
      <c r="F128" s="133"/>
      <c r="G128" s="132"/>
      <c r="H128" s="134"/>
      <c r="I128" t="s" s="135">
        <f>IF(ISBLANK(C128),"",IF(L128="L","Baixa",IF(L128="A","Média",IF(L128="","","Alta"))))</f>
      </c>
      <c r="J128" t="s" s="136">
        <f>CONCATENATE(C128,L128)</f>
      </c>
      <c r="K128" t="s" s="136">
        <f>IF(ISBLANK(C128),"",IF(C128="ALI",IF(L128="L",7,IF(L128="A",10,15)),IF(C128="AIE",IF(L128="L",5,IF(L128="A",7,10)),IF(C128="SE",IF(L128="L",4,IF(L128="A",5,7)),IF(OR(C128="EE",C128="CE"),IF(L128="L",3,IF(L128="A",4,6)),0)))))</f>
      </c>
      <c r="L128" t="s" s="137">
        <f>IF(OR(ISBLANK(E128),ISBLANK(G128)),IF(OR(C128="ALI",C128="AIE"),"L",IF(OR(C128="EE",C128="SE",C128="CE"),"A","")),IF(C128="EE",IF(G128&gt;=3,IF(E128&gt;=5,"H","A"),IF(G128&gt;=2,IF(E128&gt;=16,"H",IF(E128&lt;=4,"L","A")),IF(E128&lt;=15,"L","A"))),IF(OR(C128="SE",C128="CE"),IF(G128&gt;=4,IF(E128&gt;=6,"H","A"),IF(G128&gt;=2,IF(E128&gt;=20,"H",IF(E128&lt;=5,"L","A")),IF(E128&lt;=19,"L","A"))),IF(OR(C128="ALI",C128="AIE"),IF(G128&gt;=6,IF(E128&gt;=20,"H","A"),IF(G128&gt;=2,IF(E128&gt;=51,"H",IF(E128&lt;=19,"L","A")),IF(E128&lt;=50,"L","A"))),""))))</f>
      </c>
      <c r="M128" t="s" s="136">
        <f>CONCATENATE(C128,D128)</f>
      </c>
      <c r="N128" t="s" s="136">
        <f>IF(OR(K128="",K128=0),O128,K128)</f>
      </c>
      <c r="O128" t="s" s="138">
        <f>_xlfn.IFERROR(IF(NOT(ISERROR(VLOOKUP(C128,'Deflatores Sisp'!G$42:H$70,2,FALSE))),VLOOKUP(C128,'Deflatores Sisp'!G$42:H$70,2,FALSE),IF(OR(ISBLANK(D128),ISBLANK(C128)),"",VLOOKUP(D128,'Deflatores Sisp'!G$4:H$38,2,FALSE)*K128+VLOOKUP(D128,'Deflatores Sisp'!G$4:I$38,3,FALSE)))*W128,"")</f>
      </c>
      <c r="P128" t="s" s="156">
        <v>80</v>
      </c>
      <c r="Q128" t="s" s="136">
        <v>80</v>
      </c>
      <c r="R128" t="s" s="136">
        <v>80</v>
      </c>
      <c r="S128" t="s" s="136">
        <v>80</v>
      </c>
      <c r="T128" s="149"/>
      <c r="U128" t="s" s="136">
        <v>80</v>
      </c>
      <c r="V128" s="141"/>
      <c r="W128" s="142">
        <f>IF(V128="",SUM(Z128:AE128),IF(C128="PA",E128,100%))</f>
        <v>0.95</v>
      </c>
      <c r="X128" s="143"/>
      <c r="Y128" s="144"/>
      <c r="Z128" s="145">
        <f>IF(P128="x",25%,0)</f>
        <v>0.25</v>
      </c>
      <c r="AA128" s="145">
        <f>IF(Q128="x",10%,0)</f>
        <v>0.1</v>
      </c>
      <c r="AB128" s="145">
        <f>IF(R128="x",40%,0)</f>
        <v>0.4</v>
      </c>
      <c r="AC128" s="145">
        <f>IF(S128="x",15%,0)</f>
        <v>0.15</v>
      </c>
      <c r="AD128" s="145">
        <f>IF(T128="x",5%,0)</f>
        <v>0</v>
      </c>
      <c r="AE128" s="145">
        <f>IF(U128="x",5%,0)</f>
        <v>0.05</v>
      </c>
    </row>
    <row r="129" s="90" customFormat="1" ht="33" customHeight="1">
      <c r="A129" s="133"/>
      <c r="B129" s="133"/>
      <c r="C129" s="132"/>
      <c r="D129" s="132"/>
      <c r="E129" s="132"/>
      <c r="F129" s="133"/>
      <c r="G129" s="132"/>
      <c r="H129" s="134"/>
      <c r="I129" t="s" s="135">
        <f>IF(ISBLANK(C129),"",IF(L129="L","Baixa",IF(L129="A","Média",IF(L129="","","Alta"))))</f>
      </c>
      <c r="J129" t="s" s="136">
        <f>CONCATENATE(C129,L129)</f>
      </c>
      <c r="K129" t="s" s="136">
        <f>IF(ISBLANK(C129),"",IF(C129="ALI",IF(L129="L",7,IF(L129="A",10,15)),IF(C129="AIE",IF(L129="L",5,IF(L129="A",7,10)),IF(C129="SE",IF(L129="L",4,IF(L129="A",5,7)),IF(OR(C129="EE",C129="CE"),IF(L129="L",3,IF(L129="A",4,6)),0)))))</f>
      </c>
      <c r="L129" t="s" s="137">
        <f>IF(OR(ISBLANK(E129),ISBLANK(G129)),IF(OR(C129="ALI",C129="AIE"),"L",IF(OR(C129="EE",C129="SE",C129="CE"),"A","")),IF(C129="EE",IF(G129&gt;=3,IF(E129&gt;=5,"H","A"),IF(G129&gt;=2,IF(E129&gt;=16,"H",IF(E129&lt;=4,"L","A")),IF(E129&lt;=15,"L","A"))),IF(OR(C129="SE",C129="CE"),IF(G129&gt;=4,IF(E129&gt;=6,"H","A"),IF(G129&gt;=2,IF(E129&gt;=20,"H",IF(E129&lt;=5,"L","A")),IF(E129&lt;=19,"L","A"))),IF(OR(C129="ALI",C129="AIE"),IF(G129&gt;=6,IF(E129&gt;=20,"H","A"),IF(G129&gt;=2,IF(E129&gt;=51,"H",IF(E129&lt;=19,"L","A")),IF(E129&lt;=50,"L","A"))),""))))</f>
      </c>
      <c r="M129" t="s" s="136">
        <f>CONCATENATE(C129,D129)</f>
      </c>
      <c r="N129" t="s" s="136">
        <f>IF(OR(K129="",K129=0),O129,K129)</f>
      </c>
      <c r="O129" t="s" s="138">
        <f>_xlfn.IFERROR(IF(NOT(ISERROR(VLOOKUP(C129,'Deflatores Sisp'!G$42:H$70,2,FALSE))),VLOOKUP(C129,'Deflatores Sisp'!G$42:H$70,2,FALSE),IF(OR(ISBLANK(D129),ISBLANK(C129)),"",VLOOKUP(D129,'Deflatores Sisp'!G$4:H$38,2,FALSE)*K129+VLOOKUP(D129,'Deflatores Sisp'!G$4:I$38,3,FALSE)))*W129,"")</f>
      </c>
      <c r="P129" t="s" s="156">
        <v>80</v>
      </c>
      <c r="Q129" t="s" s="136">
        <v>80</v>
      </c>
      <c r="R129" t="s" s="136">
        <v>80</v>
      </c>
      <c r="S129" t="s" s="136">
        <v>80</v>
      </c>
      <c r="T129" s="149"/>
      <c r="U129" t="s" s="136">
        <v>80</v>
      </c>
      <c r="V129" s="141"/>
      <c r="W129" s="142">
        <f>IF(V129="",SUM(Z129:AE129),IF(C129="PA",E129,100%))</f>
        <v>0.95</v>
      </c>
      <c r="X129" s="143"/>
      <c r="Y129" s="144"/>
      <c r="Z129" s="145">
        <f>IF(P129="x",25%,0)</f>
        <v>0.25</v>
      </c>
      <c r="AA129" s="145">
        <f>IF(Q129="x",10%,0)</f>
        <v>0.1</v>
      </c>
      <c r="AB129" s="145">
        <f>IF(R129="x",40%,0)</f>
        <v>0.4</v>
      </c>
      <c r="AC129" s="145">
        <f>IF(S129="x",15%,0)</f>
        <v>0.15</v>
      </c>
      <c r="AD129" s="145">
        <f>IF(T129="x",5%,0)</f>
        <v>0</v>
      </c>
      <c r="AE129" s="145">
        <f>IF(U129="x",5%,0)</f>
        <v>0.05</v>
      </c>
    </row>
    <row r="130" s="90" customFormat="1" ht="33" customHeight="1">
      <c r="A130" s="133"/>
      <c r="B130" s="133"/>
      <c r="C130" s="132"/>
      <c r="D130" s="132"/>
      <c r="E130" s="132"/>
      <c r="F130" s="133"/>
      <c r="G130" s="132"/>
      <c r="H130" s="134"/>
      <c r="I130" t="s" s="135">
        <f>IF(ISBLANK(C130),"",IF(L130="L","Baixa",IF(L130="A","Média",IF(L130="","","Alta"))))</f>
      </c>
      <c r="J130" t="s" s="136">
        <f>CONCATENATE(C130,L130)</f>
      </c>
      <c r="K130" t="s" s="136">
        <f>IF(ISBLANK(C130),"",IF(C130="ALI",IF(L130="L",7,IF(L130="A",10,15)),IF(C130="AIE",IF(L130="L",5,IF(L130="A",7,10)),IF(C130="SE",IF(L130="L",4,IF(L130="A",5,7)),IF(OR(C130="EE",C130="CE"),IF(L130="L",3,IF(L130="A",4,6)),0)))))</f>
      </c>
      <c r="L130" t="s" s="137">
        <f>IF(OR(ISBLANK(E130),ISBLANK(G130)),IF(OR(C130="ALI",C130="AIE"),"L",IF(OR(C130="EE",C130="SE",C130="CE"),"A","")),IF(C130="EE",IF(G130&gt;=3,IF(E130&gt;=5,"H","A"),IF(G130&gt;=2,IF(E130&gt;=16,"H",IF(E130&lt;=4,"L","A")),IF(E130&lt;=15,"L","A"))),IF(OR(C130="SE",C130="CE"),IF(G130&gt;=4,IF(E130&gt;=6,"H","A"),IF(G130&gt;=2,IF(E130&gt;=20,"H",IF(E130&lt;=5,"L","A")),IF(E130&lt;=19,"L","A"))),IF(OR(C130="ALI",C130="AIE"),IF(G130&gt;=6,IF(E130&gt;=20,"H","A"),IF(G130&gt;=2,IF(E130&gt;=51,"H",IF(E130&lt;=19,"L","A")),IF(E130&lt;=50,"L","A"))),""))))</f>
      </c>
      <c r="M130" t="s" s="136">
        <f>CONCATENATE(C130,D130)</f>
      </c>
      <c r="N130" t="s" s="136">
        <f>IF(OR(K130="",K130=0),O130,K130)</f>
      </c>
      <c r="O130" t="s" s="138">
        <f>_xlfn.IFERROR(IF(NOT(ISERROR(VLOOKUP(C130,'Deflatores Sisp'!G$42:H$70,2,FALSE))),VLOOKUP(C130,'Deflatores Sisp'!G$42:H$70,2,FALSE),IF(OR(ISBLANK(D130),ISBLANK(C130)),"",VLOOKUP(D130,'Deflatores Sisp'!G$4:H$38,2,FALSE)*K130+VLOOKUP(D130,'Deflatores Sisp'!G$4:I$38,3,FALSE)))*W130,"")</f>
      </c>
      <c r="P130" t="s" s="156">
        <v>80</v>
      </c>
      <c r="Q130" t="s" s="136">
        <v>80</v>
      </c>
      <c r="R130" t="s" s="136">
        <v>80</v>
      </c>
      <c r="S130" t="s" s="136">
        <v>80</v>
      </c>
      <c r="T130" s="149"/>
      <c r="U130" t="s" s="136">
        <v>80</v>
      </c>
      <c r="V130" s="141"/>
      <c r="W130" s="142">
        <f>IF(V130="",SUM(Z130:AE130),IF(C130="PA",E130,100%))</f>
        <v>0.95</v>
      </c>
      <c r="X130" s="143"/>
      <c r="Y130" s="144"/>
      <c r="Z130" s="145">
        <f>IF(P130="x",25%,0)</f>
        <v>0.25</v>
      </c>
      <c r="AA130" s="145">
        <f>IF(Q130="x",10%,0)</f>
        <v>0.1</v>
      </c>
      <c r="AB130" s="145">
        <f>IF(R130="x",40%,0)</f>
        <v>0.4</v>
      </c>
      <c r="AC130" s="145">
        <f>IF(S130="x",15%,0)</f>
        <v>0.15</v>
      </c>
      <c r="AD130" s="145">
        <f>IF(T130="x",5%,0)</f>
        <v>0</v>
      </c>
      <c r="AE130" s="145">
        <f>IF(U130="x",5%,0)</f>
        <v>0.05</v>
      </c>
    </row>
    <row r="131" s="90" customFormat="1" ht="33" customHeight="1">
      <c r="A131" s="133"/>
      <c r="B131" s="133"/>
      <c r="C131" s="132"/>
      <c r="D131" s="132"/>
      <c r="E131" s="132"/>
      <c r="F131" s="133"/>
      <c r="G131" s="132"/>
      <c r="H131" s="134"/>
      <c r="I131" t="s" s="135">
        <f>IF(ISBLANK(C131),"",IF(L131="L","Baixa",IF(L131="A","Média",IF(L131="","","Alta"))))</f>
      </c>
      <c r="J131" t="s" s="136">
        <f>CONCATENATE(C131,L131)</f>
      </c>
      <c r="K131" t="s" s="136">
        <f>IF(ISBLANK(C131),"",IF(C131="ALI",IF(L131="L",7,IF(L131="A",10,15)),IF(C131="AIE",IF(L131="L",5,IF(L131="A",7,10)),IF(C131="SE",IF(L131="L",4,IF(L131="A",5,7)),IF(OR(C131="EE",C131="CE"),IF(L131="L",3,IF(L131="A",4,6)),0)))))</f>
      </c>
      <c r="L131" t="s" s="137">
        <f>IF(OR(ISBLANK(E131),ISBLANK(G131)),IF(OR(C131="ALI",C131="AIE"),"L",IF(OR(C131="EE",C131="SE",C131="CE"),"A","")),IF(C131="EE",IF(G131&gt;=3,IF(E131&gt;=5,"H","A"),IF(G131&gt;=2,IF(E131&gt;=16,"H",IF(E131&lt;=4,"L","A")),IF(E131&lt;=15,"L","A"))),IF(OR(C131="SE",C131="CE"),IF(G131&gt;=4,IF(E131&gt;=6,"H","A"),IF(G131&gt;=2,IF(E131&gt;=20,"H",IF(E131&lt;=5,"L","A")),IF(E131&lt;=19,"L","A"))),IF(OR(C131="ALI",C131="AIE"),IF(G131&gt;=6,IF(E131&gt;=20,"H","A"),IF(G131&gt;=2,IF(E131&gt;=51,"H",IF(E131&lt;=19,"L","A")),IF(E131&lt;=50,"L","A"))),""))))</f>
      </c>
      <c r="M131" t="s" s="136">
        <f>CONCATENATE(C131,D131)</f>
      </c>
      <c r="N131" t="s" s="136">
        <f>IF(OR(K131="",K131=0),O131,K131)</f>
      </c>
      <c r="O131" t="s" s="138">
        <f>_xlfn.IFERROR(IF(NOT(ISERROR(VLOOKUP(C131,'Deflatores Sisp'!G$42:H$70,2,FALSE))),VLOOKUP(C131,'Deflatores Sisp'!G$42:H$70,2,FALSE),IF(OR(ISBLANK(D131),ISBLANK(C131)),"",VLOOKUP(D131,'Deflatores Sisp'!G$4:H$38,2,FALSE)*K131+VLOOKUP(D131,'Deflatores Sisp'!G$4:I$38,3,FALSE)))*W131,"")</f>
      </c>
      <c r="P131" t="s" s="156">
        <v>80</v>
      </c>
      <c r="Q131" t="s" s="136">
        <v>80</v>
      </c>
      <c r="R131" t="s" s="136">
        <v>80</v>
      </c>
      <c r="S131" t="s" s="136">
        <v>80</v>
      </c>
      <c r="T131" s="149"/>
      <c r="U131" t="s" s="136">
        <v>80</v>
      </c>
      <c r="V131" s="141"/>
      <c r="W131" s="142">
        <f>IF(V131="",SUM(Z131:AE131),IF(C131="PA",E131,100%))</f>
        <v>0.95</v>
      </c>
      <c r="X131" s="143"/>
      <c r="Y131" s="144"/>
      <c r="Z131" s="145">
        <f>IF(P131="x",25%,0)</f>
        <v>0.25</v>
      </c>
      <c r="AA131" s="145">
        <f>IF(Q131="x",10%,0)</f>
        <v>0.1</v>
      </c>
      <c r="AB131" s="145">
        <f>IF(R131="x",40%,0)</f>
        <v>0.4</v>
      </c>
      <c r="AC131" s="145">
        <f>IF(S131="x",15%,0)</f>
        <v>0.15</v>
      </c>
      <c r="AD131" s="145">
        <f>IF(T131="x",5%,0)</f>
        <v>0</v>
      </c>
      <c r="AE131" s="145">
        <f>IF(U131="x",5%,0)</f>
        <v>0.05</v>
      </c>
    </row>
    <row r="132" s="90" customFormat="1" ht="33" customHeight="1">
      <c r="A132" s="133"/>
      <c r="B132" s="133"/>
      <c r="C132" s="132"/>
      <c r="D132" s="132"/>
      <c r="E132" s="132"/>
      <c r="F132" s="133"/>
      <c r="G132" s="132"/>
      <c r="H132" s="134"/>
      <c r="I132" t="s" s="135">
        <f>IF(ISBLANK(C132),"",IF(L132="L","Baixa",IF(L132="A","Média",IF(L132="","","Alta"))))</f>
      </c>
      <c r="J132" t="s" s="136">
        <f>CONCATENATE(C132,L132)</f>
      </c>
      <c r="K132" t="s" s="136">
        <f>IF(ISBLANK(C132),"",IF(C132="ALI",IF(L132="L",7,IF(L132="A",10,15)),IF(C132="AIE",IF(L132="L",5,IF(L132="A",7,10)),IF(C132="SE",IF(L132="L",4,IF(L132="A",5,7)),IF(OR(C132="EE",C132="CE"),IF(L132="L",3,IF(L132="A",4,6)),0)))))</f>
      </c>
      <c r="L132" t="s" s="137">
        <f>IF(OR(ISBLANK(E132),ISBLANK(G132)),IF(OR(C132="ALI",C132="AIE"),"L",IF(OR(C132="EE",C132="SE",C132="CE"),"A","")),IF(C132="EE",IF(G132&gt;=3,IF(E132&gt;=5,"H","A"),IF(G132&gt;=2,IF(E132&gt;=16,"H",IF(E132&lt;=4,"L","A")),IF(E132&lt;=15,"L","A"))),IF(OR(C132="SE",C132="CE"),IF(G132&gt;=4,IF(E132&gt;=6,"H","A"),IF(G132&gt;=2,IF(E132&gt;=20,"H",IF(E132&lt;=5,"L","A")),IF(E132&lt;=19,"L","A"))),IF(OR(C132="ALI",C132="AIE"),IF(G132&gt;=6,IF(E132&gt;=20,"H","A"),IF(G132&gt;=2,IF(E132&gt;=51,"H",IF(E132&lt;=19,"L","A")),IF(E132&lt;=50,"L","A"))),""))))</f>
      </c>
      <c r="M132" t="s" s="136">
        <f>CONCATENATE(C132,D132)</f>
      </c>
      <c r="N132" t="s" s="136">
        <f>IF(OR(K132="",K132=0),O132,K132)</f>
      </c>
      <c r="O132" t="s" s="138">
        <f>_xlfn.IFERROR(IF(NOT(ISERROR(VLOOKUP(C132,'Deflatores Sisp'!G$42:H$70,2,FALSE))),VLOOKUP(C132,'Deflatores Sisp'!G$42:H$70,2,FALSE),IF(OR(ISBLANK(D132),ISBLANK(C132)),"",VLOOKUP(D132,'Deflatores Sisp'!G$4:H$38,2,FALSE)*K132+VLOOKUP(D132,'Deflatores Sisp'!G$4:I$38,3,FALSE)))*W132,"")</f>
      </c>
      <c r="P132" t="s" s="156">
        <v>80</v>
      </c>
      <c r="Q132" t="s" s="136">
        <v>80</v>
      </c>
      <c r="R132" t="s" s="136">
        <v>80</v>
      </c>
      <c r="S132" t="s" s="136">
        <v>80</v>
      </c>
      <c r="T132" s="149"/>
      <c r="U132" t="s" s="136">
        <v>80</v>
      </c>
      <c r="V132" s="141"/>
      <c r="W132" s="142">
        <f>IF(V132="",SUM(Z132:AE132),IF(C132="PA",E132,100%))</f>
        <v>0.95</v>
      </c>
      <c r="X132" s="143"/>
      <c r="Y132" s="144"/>
      <c r="Z132" s="145">
        <f>IF(P132="x",25%,0)</f>
        <v>0.25</v>
      </c>
      <c r="AA132" s="145">
        <f>IF(Q132="x",10%,0)</f>
        <v>0.1</v>
      </c>
      <c r="AB132" s="145">
        <f>IF(R132="x",40%,0)</f>
        <v>0.4</v>
      </c>
      <c r="AC132" s="145">
        <f>IF(S132="x",15%,0)</f>
        <v>0.15</v>
      </c>
      <c r="AD132" s="145">
        <f>IF(T132="x",5%,0)</f>
        <v>0</v>
      </c>
      <c r="AE132" s="145">
        <f>IF(U132="x",5%,0)</f>
        <v>0.05</v>
      </c>
    </row>
    <row r="133" s="90" customFormat="1" ht="33" customHeight="1">
      <c r="A133" s="133"/>
      <c r="B133" s="133"/>
      <c r="C133" s="132"/>
      <c r="D133" s="132"/>
      <c r="E133" s="132"/>
      <c r="F133" s="133"/>
      <c r="G133" s="132"/>
      <c r="H133" s="134"/>
      <c r="I133" t="s" s="135">
        <f>IF(ISBLANK(C133),"",IF(L133="L","Baixa",IF(L133="A","Média",IF(L133="","","Alta"))))</f>
      </c>
      <c r="J133" t="s" s="136">
        <f>CONCATENATE(C133,L133)</f>
      </c>
      <c r="K133" t="s" s="136">
        <f>IF(ISBLANK(C133),"",IF(C133="ALI",IF(L133="L",7,IF(L133="A",10,15)),IF(C133="AIE",IF(L133="L",5,IF(L133="A",7,10)),IF(C133="SE",IF(L133="L",4,IF(L133="A",5,7)),IF(OR(C133="EE",C133="CE"),IF(L133="L",3,IF(L133="A",4,6)),0)))))</f>
      </c>
      <c r="L133" t="s" s="137">
        <f>IF(OR(ISBLANK(E133),ISBLANK(G133)),IF(OR(C133="ALI",C133="AIE"),"L",IF(OR(C133="EE",C133="SE",C133="CE"),"A","")),IF(C133="EE",IF(G133&gt;=3,IF(E133&gt;=5,"H","A"),IF(G133&gt;=2,IF(E133&gt;=16,"H",IF(E133&lt;=4,"L","A")),IF(E133&lt;=15,"L","A"))),IF(OR(C133="SE",C133="CE"),IF(G133&gt;=4,IF(E133&gt;=6,"H","A"),IF(G133&gt;=2,IF(E133&gt;=20,"H",IF(E133&lt;=5,"L","A")),IF(E133&lt;=19,"L","A"))),IF(OR(C133="ALI",C133="AIE"),IF(G133&gt;=6,IF(E133&gt;=20,"H","A"),IF(G133&gt;=2,IF(E133&gt;=51,"H",IF(E133&lt;=19,"L","A")),IF(E133&lt;=50,"L","A"))),""))))</f>
      </c>
      <c r="M133" t="s" s="136">
        <f>CONCATENATE(C133,D133)</f>
      </c>
      <c r="N133" t="s" s="136">
        <f>IF(OR(K133="",K133=0),O133,K133)</f>
      </c>
      <c r="O133" t="s" s="138">
        <f>_xlfn.IFERROR(IF(NOT(ISERROR(VLOOKUP(C133,'Deflatores Sisp'!G$42:H$70,2,FALSE))),VLOOKUP(C133,'Deflatores Sisp'!G$42:H$70,2,FALSE),IF(OR(ISBLANK(D133),ISBLANK(C133)),"",VLOOKUP(D133,'Deflatores Sisp'!G$4:H$38,2,FALSE)*K133+VLOOKUP(D133,'Deflatores Sisp'!G$4:I$38,3,FALSE)))*W133,"")</f>
      </c>
      <c r="P133" t="s" s="156">
        <v>80</v>
      </c>
      <c r="Q133" t="s" s="136">
        <v>80</v>
      </c>
      <c r="R133" t="s" s="136">
        <v>80</v>
      </c>
      <c r="S133" t="s" s="136">
        <v>80</v>
      </c>
      <c r="T133" s="149"/>
      <c r="U133" t="s" s="136">
        <v>80</v>
      </c>
      <c r="V133" s="141"/>
      <c r="W133" s="142">
        <f>IF(V133="",SUM(Z133:AE133),IF(C133="PA",E133,100%))</f>
        <v>0.95</v>
      </c>
      <c r="X133" s="143"/>
      <c r="Y133" s="144"/>
      <c r="Z133" s="145">
        <f>IF(P133="x",25%,0)</f>
        <v>0.25</v>
      </c>
      <c r="AA133" s="145">
        <f>IF(Q133="x",10%,0)</f>
        <v>0.1</v>
      </c>
      <c r="AB133" s="145">
        <f>IF(R133="x",40%,0)</f>
        <v>0.4</v>
      </c>
      <c r="AC133" s="145">
        <f>IF(S133="x",15%,0)</f>
        <v>0.15</v>
      </c>
      <c r="AD133" s="145">
        <f>IF(T133="x",5%,0)</f>
        <v>0</v>
      </c>
      <c r="AE133" s="145">
        <f>IF(U133="x",5%,0)</f>
        <v>0.05</v>
      </c>
    </row>
    <row r="134" s="90" customFormat="1" ht="33" customHeight="1">
      <c r="A134" s="133"/>
      <c r="B134" s="133"/>
      <c r="C134" s="132"/>
      <c r="D134" s="132"/>
      <c r="E134" s="132"/>
      <c r="F134" s="133"/>
      <c r="G134" s="132"/>
      <c r="H134" s="134"/>
      <c r="I134" t="s" s="135">
        <f>IF(ISBLANK(C134),"",IF(L134="L","Baixa",IF(L134="A","Média",IF(L134="","","Alta"))))</f>
      </c>
      <c r="J134" t="s" s="136">
        <f>CONCATENATE(C134,L134)</f>
      </c>
      <c r="K134" t="s" s="136">
        <f>IF(ISBLANK(C134),"",IF(C134="ALI",IF(L134="L",7,IF(L134="A",10,15)),IF(C134="AIE",IF(L134="L",5,IF(L134="A",7,10)),IF(C134="SE",IF(L134="L",4,IF(L134="A",5,7)),IF(OR(C134="EE",C134="CE"),IF(L134="L",3,IF(L134="A",4,6)),0)))))</f>
      </c>
      <c r="L134" t="s" s="137">
        <f>IF(OR(ISBLANK(E134),ISBLANK(G134)),IF(OR(C134="ALI",C134="AIE"),"L",IF(OR(C134="EE",C134="SE",C134="CE"),"A","")),IF(C134="EE",IF(G134&gt;=3,IF(E134&gt;=5,"H","A"),IF(G134&gt;=2,IF(E134&gt;=16,"H",IF(E134&lt;=4,"L","A")),IF(E134&lt;=15,"L","A"))),IF(OR(C134="SE",C134="CE"),IF(G134&gt;=4,IF(E134&gt;=6,"H","A"),IF(G134&gt;=2,IF(E134&gt;=20,"H",IF(E134&lt;=5,"L","A")),IF(E134&lt;=19,"L","A"))),IF(OR(C134="ALI",C134="AIE"),IF(G134&gt;=6,IF(E134&gt;=20,"H","A"),IF(G134&gt;=2,IF(E134&gt;=51,"H",IF(E134&lt;=19,"L","A")),IF(E134&lt;=50,"L","A"))),""))))</f>
      </c>
      <c r="M134" t="s" s="136">
        <f>CONCATENATE(C134,D134)</f>
      </c>
      <c r="N134" t="s" s="136">
        <f>IF(OR(K134="",K134=0),O134,K134)</f>
      </c>
      <c r="O134" t="s" s="138">
        <f>_xlfn.IFERROR(IF(NOT(ISERROR(VLOOKUP(C134,'Deflatores Sisp'!G$42:H$70,2,FALSE))),VLOOKUP(C134,'Deflatores Sisp'!G$42:H$70,2,FALSE),IF(OR(ISBLANK(D134),ISBLANK(C134)),"",VLOOKUP(D134,'Deflatores Sisp'!G$4:H$38,2,FALSE)*K134+VLOOKUP(D134,'Deflatores Sisp'!G$4:I$38,3,FALSE)))*W134,"")</f>
      </c>
      <c r="P134" t="s" s="156">
        <v>80</v>
      </c>
      <c r="Q134" t="s" s="136">
        <v>80</v>
      </c>
      <c r="R134" t="s" s="136">
        <v>80</v>
      </c>
      <c r="S134" t="s" s="136">
        <v>80</v>
      </c>
      <c r="T134" s="149"/>
      <c r="U134" t="s" s="136">
        <v>80</v>
      </c>
      <c r="V134" s="141"/>
      <c r="W134" s="142">
        <f>IF(V134="",SUM(Z134:AE134),IF(C134="PA",E134,100%))</f>
        <v>0.95</v>
      </c>
      <c r="X134" s="143"/>
      <c r="Y134" s="144"/>
      <c r="Z134" s="145">
        <f>IF(P134="x",25%,0)</f>
        <v>0.25</v>
      </c>
      <c r="AA134" s="145">
        <f>IF(Q134="x",10%,0)</f>
        <v>0.1</v>
      </c>
      <c r="AB134" s="145">
        <f>IF(R134="x",40%,0)</f>
        <v>0.4</v>
      </c>
      <c r="AC134" s="145">
        <f>IF(S134="x",15%,0)</f>
        <v>0.15</v>
      </c>
      <c r="AD134" s="145">
        <f>IF(T134="x",5%,0)</f>
        <v>0</v>
      </c>
      <c r="AE134" s="145">
        <f>IF(U134="x",5%,0)</f>
        <v>0.05</v>
      </c>
    </row>
    <row r="135" s="90" customFormat="1" ht="33" customHeight="1">
      <c r="A135" s="133"/>
      <c r="B135" s="133"/>
      <c r="C135" s="132"/>
      <c r="D135" s="132"/>
      <c r="E135" s="132"/>
      <c r="F135" s="133"/>
      <c r="G135" s="132"/>
      <c r="H135" s="134"/>
      <c r="I135" t="s" s="135">
        <f>IF(ISBLANK(C135),"",IF(L135="L","Baixa",IF(L135="A","Média",IF(L135="","","Alta"))))</f>
      </c>
      <c r="J135" t="s" s="136">
        <f>CONCATENATE(C135,L135)</f>
      </c>
      <c r="K135" t="s" s="136">
        <f>IF(ISBLANK(C135),"",IF(C135="ALI",IF(L135="L",7,IF(L135="A",10,15)),IF(C135="AIE",IF(L135="L",5,IF(L135="A",7,10)),IF(C135="SE",IF(L135="L",4,IF(L135="A",5,7)),IF(OR(C135="EE",C135="CE"),IF(L135="L",3,IF(L135="A",4,6)),0)))))</f>
      </c>
      <c r="L135" t="s" s="137">
        <f>IF(OR(ISBLANK(E135),ISBLANK(G135)),IF(OR(C135="ALI",C135="AIE"),"L",IF(OR(C135="EE",C135="SE",C135="CE"),"A","")),IF(C135="EE",IF(G135&gt;=3,IF(E135&gt;=5,"H","A"),IF(G135&gt;=2,IF(E135&gt;=16,"H",IF(E135&lt;=4,"L","A")),IF(E135&lt;=15,"L","A"))),IF(OR(C135="SE",C135="CE"),IF(G135&gt;=4,IF(E135&gt;=6,"H","A"),IF(G135&gt;=2,IF(E135&gt;=20,"H",IF(E135&lt;=5,"L","A")),IF(E135&lt;=19,"L","A"))),IF(OR(C135="ALI",C135="AIE"),IF(G135&gt;=6,IF(E135&gt;=20,"H","A"),IF(G135&gt;=2,IF(E135&gt;=51,"H",IF(E135&lt;=19,"L","A")),IF(E135&lt;=50,"L","A"))),""))))</f>
      </c>
      <c r="M135" t="s" s="136">
        <f>CONCATENATE(C135,D135)</f>
      </c>
      <c r="N135" t="s" s="136">
        <f>IF(OR(K135="",K135=0),O135,K135)</f>
      </c>
      <c r="O135" t="s" s="138">
        <f>_xlfn.IFERROR(IF(NOT(ISERROR(VLOOKUP(C135,'Deflatores Sisp'!G$42:H$70,2,FALSE))),VLOOKUP(C135,'Deflatores Sisp'!G$42:H$70,2,FALSE),IF(OR(ISBLANK(D135),ISBLANK(C135)),"",VLOOKUP(D135,'Deflatores Sisp'!G$4:H$38,2,FALSE)*K135+VLOOKUP(D135,'Deflatores Sisp'!G$4:I$38,3,FALSE)))*W135,"")</f>
      </c>
      <c r="P135" t="s" s="156">
        <v>80</v>
      </c>
      <c r="Q135" t="s" s="136">
        <v>80</v>
      </c>
      <c r="R135" t="s" s="136">
        <v>80</v>
      </c>
      <c r="S135" t="s" s="136">
        <v>80</v>
      </c>
      <c r="T135" s="149"/>
      <c r="U135" t="s" s="136">
        <v>80</v>
      </c>
      <c r="V135" s="141"/>
      <c r="W135" s="142">
        <f>IF(V135="",SUM(Z135:AE135),IF(C135="PA",E135,100%))</f>
        <v>0.95</v>
      </c>
      <c r="X135" s="143"/>
      <c r="Y135" s="144"/>
      <c r="Z135" s="145">
        <f>IF(P135="x",25%,0)</f>
        <v>0.25</v>
      </c>
      <c r="AA135" s="145">
        <f>IF(Q135="x",10%,0)</f>
        <v>0.1</v>
      </c>
      <c r="AB135" s="145">
        <f>IF(R135="x",40%,0)</f>
        <v>0.4</v>
      </c>
      <c r="AC135" s="145">
        <f>IF(S135="x",15%,0)</f>
        <v>0.15</v>
      </c>
      <c r="AD135" s="145">
        <f>IF(T135="x",5%,0)</f>
        <v>0</v>
      </c>
      <c r="AE135" s="145">
        <f>IF(U135="x",5%,0)</f>
        <v>0.05</v>
      </c>
    </row>
    <row r="136" s="90" customFormat="1" ht="33" customHeight="1">
      <c r="A136" s="133"/>
      <c r="B136" s="133"/>
      <c r="C136" s="132"/>
      <c r="D136" s="132"/>
      <c r="E136" s="132"/>
      <c r="F136" s="133"/>
      <c r="G136" s="132"/>
      <c r="H136" s="134"/>
      <c r="I136" t="s" s="135">
        <f>IF(ISBLANK(C136),"",IF(L136="L","Baixa",IF(L136="A","Média",IF(L136="","","Alta"))))</f>
      </c>
      <c r="J136" t="s" s="136">
        <f>CONCATENATE(C136,L136)</f>
      </c>
      <c r="K136" t="s" s="136">
        <f>IF(ISBLANK(C136),"",IF(C136="ALI",IF(L136="L",7,IF(L136="A",10,15)),IF(C136="AIE",IF(L136="L",5,IF(L136="A",7,10)),IF(C136="SE",IF(L136="L",4,IF(L136="A",5,7)),IF(OR(C136="EE",C136="CE"),IF(L136="L",3,IF(L136="A",4,6)),0)))))</f>
      </c>
      <c r="L136" t="s" s="137">
        <f>IF(OR(ISBLANK(E136),ISBLANK(G136)),IF(OR(C136="ALI",C136="AIE"),"L",IF(OR(C136="EE",C136="SE",C136="CE"),"A","")),IF(C136="EE",IF(G136&gt;=3,IF(E136&gt;=5,"H","A"),IF(G136&gt;=2,IF(E136&gt;=16,"H",IF(E136&lt;=4,"L","A")),IF(E136&lt;=15,"L","A"))),IF(OR(C136="SE",C136="CE"),IF(G136&gt;=4,IF(E136&gt;=6,"H","A"),IF(G136&gt;=2,IF(E136&gt;=20,"H",IF(E136&lt;=5,"L","A")),IF(E136&lt;=19,"L","A"))),IF(OR(C136="ALI",C136="AIE"),IF(G136&gt;=6,IF(E136&gt;=20,"H","A"),IF(G136&gt;=2,IF(E136&gt;=51,"H",IF(E136&lt;=19,"L","A")),IF(E136&lt;=50,"L","A"))),""))))</f>
      </c>
      <c r="M136" t="s" s="136">
        <f>CONCATENATE(C136,D136)</f>
      </c>
      <c r="N136" t="s" s="136">
        <f>IF(OR(K136="",K136=0),O136,K136)</f>
      </c>
      <c r="O136" t="s" s="138">
        <f>_xlfn.IFERROR(IF(NOT(ISERROR(VLOOKUP(C136,'Deflatores Sisp'!G$42:H$70,2,FALSE))),VLOOKUP(C136,'Deflatores Sisp'!G$42:H$70,2,FALSE),IF(OR(ISBLANK(D136),ISBLANK(C136)),"",VLOOKUP(D136,'Deflatores Sisp'!G$4:H$38,2,FALSE)*K136+VLOOKUP(D136,'Deflatores Sisp'!G$4:I$38,3,FALSE)))*W136,"")</f>
      </c>
      <c r="P136" t="s" s="156">
        <v>80</v>
      </c>
      <c r="Q136" t="s" s="136">
        <v>80</v>
      </c>
      <c r="R136" t="s" s="136">
        <v>80</v>
      </c>
      <c r="S136" t="s" s="136">
        <v>80</v>
      </c>
      <c r="T136" s="149"/>
      <c r="U136" t="s" s="136">
        <v>80</v>
      </c>
      <c r="V136" s="141"/>
      <c r="W136" s="142">
        <f>IF(V136="",SUM(Z136:AE136),IF(C136="PA",E136,100%))</f>
        <v>0.95</v>
      </c>
      <c r="X136" s="143"/>
      <c r="Y136" s="144"/>
      <c r="Z136" s="145">
        <f>IF(P136="x",25%,0)</f>
        <v>0.25</v>
      </c>
      <c r="AA136" s="145">
        <f>IF(Q136="x",10%,0)</f>
        <v>0.1</v>
      </c>
      <c r="AB136" s="145">
        <f>IF(R136="x",40%,0)</f>
        <v>0.4</v>
      </c>
      <c r="AC136" s="145">
        <f>IF(S136="x",15%,0)</f>
        <v>0.15</v>
      </c>
      <c r="AD136" s="145">
        <f>IF(T136="x",5%,0)</f>
        <v>0</v>
      </c>
      <c r="AE136" s="145">
        <f>IF(U136="x",5%,0)</f>
        <v>0.05</v>
      </c>
    </row>
    <row r="137" s="90" customFormat="1" ht="33" customHeight="1">
      <c r="A137" s="133"/>
      <c r="B137" s="133"/>
      <c r="C137" s="132"/>
      <c r="D137" s="132"/>
      <c r="E137" s="132"/>
      <c r="F137" s="133"/>
      <c r="G137" s="132"/>
      <c r="H137" s="134"/>
      <c r="I137" t="s" s="135">
        <f>IF(ISBLANK(C137),"",IF(L137="L","Baixa",IF(L137="A","Média",IF(L137="","","Alta"))))</f>
      </c>
      <c r="J137" t="s" s="136">
        <f>CONCATENATE(C137,L137)</f>
      </c>
      <c r="K137" t="s" s="136">
        <f>IF(ISBLANK(C137),"",IF(C137="ALI",IF(L137="L",7,IF(L137="A",10,15)),IF(C137="AIE",IF(L137="L",5,IF(L137="A",7,10)),IF(C137="SE",IF(L137="L",4,IF(L137="A",5,7)),IF(OR(C137="EE",C137="CE"),IF(L137="L",3,IF(L137="A",4,6)),0)))))</f>
      </c>
      <c r="L137" t="s" s="137">
        <f>IF(OR(ISBLANK(E137),ISBLANK(G137)),IF(OR(C137="ALI",C137="AIE"),"L",IF(OR(C137="EE",C137="SE",C137="CE"),"A","")),IF(C137="EE",IF(G137&gt;=3,IF(E137&gt;=5,"H","A"),IF(G137&gt;=2,IF(E137&gt;=16,"H",IF(E137&lt;=4,"L","A")),IF(E137&lt;=15,"L","A"))),IF(OR(C137="SE",C137="CE"),IF(G137&gt;=4,IF(E137&gt;=6,"H","A"),IF(G137&gt;=2,IF(E137&gt;=20,"H",IF(E137&lt;=5,"L","A")),IF(E137&lt;=19,"L","A"))),IF(OR(C137="ALI",C137="AIE"),IF(G137&gt;=6,IF(E137&gt;=20,"H","A"),IF(G137&gt;=2,IF(E137&gt;=51,"H",IF(E137&lt;=19,"L","A")),IF(E137&lt;=50,"L","A"))),""))))</f>
      </c>
      <c r="M137" t="s" s="136">
        <f>CONCATENATE(C137,D137)</f>
      </c>
      <c r="N137" t="s" s="136">
        <f>IF(OR(K137="",K137=0),O137,K137)</f>
      </c>
      <c r="O137" t="s" s="138">
        <f>_xlfn.IFERROR(IF(NOT(ISERROR(VLOOKUP(C137,'Deflatores Sisp'!G$42:H$70,2,FALSE))),VLOOKUP(C137,'Deflatores Sisp'!G$42:H$70,2,FALSE),IF(OR(ISBLANK(D137),ISBLANK(C137)),"",VLOOKUP(D137,'Deflatores Sisp'!G$4:H$38,2,FALSE)*K137+VLOOKUP(D137,'Deflatores Sisp'!G$4:I$38,3,FALSE)))*W137,"")</f>
      </c>
      <c r="P137" t="s" s="156">
        <v>80</v>
      </c>
      <c r="Q137" t="s" s="136">
        <v>80</v>
      </c>
      <c r="R137" t="s" s="136">
        <v>80</v>
      </c>
      <c r="S137" t="s" s="136">
        <v>80</v>
      </c>
      <c r="T137" s="149"/>
      <c r="U137" t="s" s="136">
        <v>80</v>
      </c>
      <c r="V137" s="141"/>
      <c r="W137" s="142">
        <f>IF(V137="",SUM(Z137:AE137),IF(C137="PA",E137,100%))</f>
        <v>0.95</v>
      </c>
      <c r="X137" s="143"/>
      <c r="Y137" s="144"/>
      <c r="Z137" s="145">
        <f>IF(P137="x",25%,0)</f>
        <v>0.25</v>
      </c>
      <c r="AA137" s="145">
        <f>IF(Q137="x",10%,0)</f>
        <v>0.1</v>
      </c>
      <c r="AB137" s="145">
        <f>IF(R137="x",40%,0)</f>
        <v>0.4</v>
      </c>
      <c r="AC137" s="145">
        <f>IF(S137="x",15%,0)</f>
        <v>0.15</v>
      </c>
      <c r="AD137" s="145">
        <f>IF(T137="x",5%,0)</f>
        <v>0</v>
      </c>
      <c r="AE137" s="145">
        <f>IF(U137="x",5%,0)</f>
        <v>0.05</v>
      </c>
    </row>
    <row r="138" s="90" customFormat="1" ht="33" customHeight="1">
      <c r="A138" s="133"/>
      <c r="B138" s="133"/>
      <c r="C138" s="132"/>
      <c r="D138" s="132"/>
      <c r="E138" s="132"/>
      <c r="F138" s="133"/>
      <c r="G138" s="132"/>
      <c r="H138" s="134"/>
      <c r="I138" t="s" s="135">
        <f>IF(ISBLANK(C138),"",IF(L138="L","Baixa",IF(L138="A","Média",IF(L138="","","Alta"))))</f>
      </c>
      <c r="J138" t="s" s="136">
        <f>CONCATENATE(C138,L138)</f>
      </c>
      <c r="K138" t="s" s="136">
        <f>IF(ISBLANK(C138),"",IF(C138="ALI",IF(L138="L",7,IF(L138="A",10,15)),IF(C138="AIE",IF(L138="L",5,IF(L138="A",7,10)),IF(C138="SE",IF(L138="L",4,IF(L138="A",5,7)),IF(OR(C138="EE",C138="CE"),IF(L138="L",3,IF(L138="A",4,6)),0)))))</f>
      </c>
      <c r="L138" t="s" s="137">
        <f>IF(OR(ISBLANK(E138),ISBLANK(G138)),IF(OR(C138="ALI",C138="AIE"),"L",IF(OR(C138="EE",C138="SE",C138="CE"),"A","")),IF(C138="EE",IF(G138&gt;=3,IF(E138&gt;=5,"H","A"),IF(G138&gt;=2,IF(E138&gt;=16,"H",IF(E138&lt;=4,"L","A")),IF(E138&lt;=15,"L","A"))),IF(OR(C138="SE",C138="CE"),IF(G138&gt;=4,IF(E138&gt;=6,"H","A"),IF(G138&gt;=2,IF(E138&gt;=20,"H",IF(E138&lt;=5,"L","A")),IF(E138&lt;=19,"L","A"))),IF(OR(C138="ALI",C138="AIE"),IF(G138&gt;=6,IF(E138&gt;=20,"H","A"),IF(G138&gt;=2,IF(E138&gt;=51,"H",IF(E138&lt;=19,"L","A")),IF(E138&lt;=50,"L","A"))),""))))</f>
      </c>
      <c r="M138" t="s" s="136">
        <f>CONCATENATE(C138,D138)</f>
      </c>
      <c r="N138" t="s" s="136">
        <f>IF(OR(K138="",K138=0),O138,K138)</f>
      </c>
      <c r="O138" t="s" s="138">
        <f>_xlfn.IFERROR(IF(NOT(ISERROR(VLOOKUP(C138,'Deflatores Sisp'!G$42:H$70,2,FALSE))),VLOOKUP(C138,'Deflatores Sisp'!G$42:H$70,2,FALSE),IF(OR(ISBLANK(D138),ISBLANK(C138)),"",VLOOKUP(D138,'Deflatores Sisp'!G$4:H$38,2,FALSE)*K138+VLOOKUP(D138,'Deflatores Sisp'!G$4:I$38,3,FALSE)))*W138,"")</f>
      </c>
      <c r="P138" t="s" s="156">
        <v>80</v>
      </c>
      <c r="Q138" t="s" s="136">
        <v>80</v>
      </c>
      <c r="R138" t="s" s="136">
        <v>80</v>
      </c>
      <c r="S138" t="s" s="136">
        <v>80</v>
      </c>
      <c r="T138" s="149"/>
      <c r="U138" t="s" s="136">
        <v>80</v>
      </c>
      <c r="V138" s="141"/>
      <c r="W138" s="142">
        <f>IF(V138="",SUM(Z138:AE138),IF(C138="PA",E138,100%))</f>
        <v>0.95</v>
      </c>
      <c r="X138" s="143"/>
      <c r="Y138" s="144"/>
      <c r="Z138" s="145">
        <f>IF(P138="x",25%,0)</f>
        <v>0.25</v>
      </c>
      <c r="AA138" s="145">
        <f>IF(Q138="x",10%,0)</f>
        <v>0.1</v>
      </c>
      <c r="AB138" s="145">
        <f>IF(R138="x",40%,0)</f>
        <v>0.4</v>
      </c>
      <c r="AC138" s="145">
        <f>IF(S138="x",15%,0)</f>
        <v>0.15</v>
      </c>
      <c r="AD138" s="145">
        <f>IF(T138="x",5%,0)</f>
        <v>0</v>
      </c>
      <c r="AE138" s="145">
        <f>IF(U138="x",5%,0)</f>
        <v>0.05</v>
      </c>
    </row>
    <row r="139" s="90" customFormat="1" ht="33" customHeight="1">
      <c r="A139" s="133"/>
      <c r="B139" s="171"/>
      <c r="C139" s="132"/>
      <c r="D139" s="132"/>
      <c r="E139" s="132"/>
      <c r="F139" s="133"/>
      <c r="G139" s="132"/>
      <c r="H139" s="134"/>
      <c r="I139" t="s" s="135">
        <f>IF(ISBLANK(C139),"",IF(L139="L","Baixa",IF(L139="A","Média",IF(L139="","","Alta"))))</f>
      </c>
      <c r="J139" t="s" s="136">
        <f>CONCATENATE(C139,L139)</f>
      </c>
      <c r="K139" t="s" s="136">
        <f>IF(ISBLANK(C139),"",IF(C139="ALI",IF(L139="L",7,IF(L139="A",10,15)),IF(C139="AIE",IF(L139="L",5,IF(L139="A",7,10)),IF(C139="SE",IF(L139="L",4,IF(L139="A",5,7)),IF(OR(C139="EE",C139="CE"),IF(L139="L",3,IF(L139="A",4,6)),0)))))</f>
      </c>
      <c r="L139" t="s" s="137">
        <f>IF(OR(ISBLANK(E139),ISBLANK(G139)),IF(OR(C139="ALI",C139="AIE"),"L",IF(OR(C139="EE",C139="SE",C139="CE"),"A","")),IF(C139="EE",IF(G139&gt;=3,IF(E139&gt;=5,"H","A"),IF(G139&gt;=2,IF(E139&gt;=16,"H",IF(E139&lt;=4,"L","A")),IF(E139&lt;=15,"L","A"))),IF(OR(C139="SE",C139="CE"),IF(G139&gt;=4,IF(E139&gt;=6,"H","A"),IF(G139&gt;=2,IF(E139&gt;=20,"H",IF(E139&lt;=5,"L","A")),IF(E139&lt;=19,"L","A"))),IF(OR(C139="ALI",C139="AIE"),IF(G139&gt;=6,IF(E139&gt;=20,"H","A"),IF(G139&gt;=2,IF(E139&gt;=51,"H",IF(E139&lt;=19,"L","A")),IF(E139&lt;=50,"L","A"))),""))))</f>
      </c>
      <c r="M139" t="s" s="136">
        <f>CONCATENATE(C139,D139)</f>
      </c>
      <c r="N139" t="s" s="136">
        <f>IF(OR(K139="",K139=0),O139,K139)</f>
      </c>
      <c r="O139" t="s" s="138">
        <f>_xlfn.IFERROR(IF(NOT(ISERROR(VLOOKUP(C139,'Deflatores Sisp'!G$42:H$70,2,FALSE))),VLOOKUP(C139,'Deflatores Sisp'!G$42:H$70,2,FALSE),IF(OR(ISBLANK(D139),ISBLANK(C139)),"",VLOOKUP(D139,'Deflatores Sisp'!G$4:H$38,2,FALSE)*K139+VLOOKUP(D139,'Deflatores Sisp'!G$4:I$38,3,FALSE)))*W139,"")</f>
      </c>
      <c r="P139" t="s" s="156">
        <v>80</v>
      </c>
      <c r="Q139" t="s" s="136">
        <v>80</v>
      </c>
      <c r="R139" t="s" s="136">
        <v>80</v>
      </c>
      <c r="S139" t="s" s="136">
        <v>80</v>
      </c>
      <c r="T139" s="149"/>
      <c r="U139" t="s" s="136">
        <v>80</v>
      </c>
      <c r="V139" s="141"/>
      <c r="W139" s="142">
        <f>IF(V139="",SUM(Z139:AE139),IF(C139="PA",E139,100%))</f>
        <v>0.95</v>
      </c>
      <c r="X139" s="143"/>
      <c r="Y139" s="144"/>
      <c r="Z139" s="145">
        <f>IF(P139="x",25%,0)</f>
        <v>0.25</v>
      </c>
      <c r="AA139" s="145">
        <f>IF(Q139="x",10%,0)</f>
        <v>0.1</v>
      </c>
      <c r="AB139" s="145">
        <f>IF(R139="x",40%,0)</f>
        <v>0.4</v>
      </c>
      <c r="AC139" s="145">
        <f>IF(S139="x",15%,0)</f>
        <v>0.15</v>
      </c>
      <c r="AD139" s="145">
        <f>IF(T139="x",5%,0)</f>
        <v>0</v>
      </c>
      <c r="AE139" s="145">
        <f>IF(U139="x",5%,0)</f>
        <v>0.05</v>
      </c>
    </row>
    <row r="140" s="90" customFormat="1" ht="33" customHeight="1">
      <c r="A140" s="133"/>
      <c r="B140" s="171"/>
      <c r="C140" s="132"/>
      <c r="D140" s="132"/>
      <c r="E140" s="132"/>
      <c r="F140" s="133"/>
      <c r="G140" s="132"/>
      <c r="H140" s="172"/>
      <c r="I140" t="s" s="135">
        <f>IF(ISBLANK(C140),"",IF(L140="L","Baixa",IF(L140="A","Média",IF(L140="","","Alta"))))</f>
      </c>
      <c r="J140" t="s" s="136">
        <f>CONCATENATE(C140,L140)</f>
      </c>
      <c r="K140" t="s" s="136">
        <f>IF(ISBLANK(C140),"",IF(C140="ALI",IF(L140="L",7,IF(L140="A",10,15)),IF(C140="AIE",IF(L140="L",5,IF(L140="A",7,10)),IF(C140="SE",IF(L140="L",4,IF(L140="A",5,7)),IF(OR(C140="EE",C140="CE"),IF(L140="L",3,IF(L140="A",4,6)),0)))))</f>
      </c>
      <c r="L140" t="s" s="137">
        <f>IF(OR(ISBLANK(E140),ISBLANK(G140)),IF(OR(C140="ALI",C140="AIE"),"L",IF(OR(C140="EE",C140="SE",C140="CE"),"A","")),IF(C140="EE",IF(G140&gt;=3,IF(E140&gt;=5,"H","A"),IF(G140&gt;=2,IF(E140&gt;=16,"H",IF(E140&lt;=4,"L","A")),IF(E140&lt;=15,"L","A"))),IF(OR(C140="SE",C140="CE"),IF(G140&gt;=4,IF(E140&gt;=6,"H","A"),IF(G140&gt;=2,IF(E140&gt;=20,"H",IF(E140&lt;=5,"L","A")),IF(E140&lt;=19,"L","A"))),IF(OR(C140="ALI",C140="AIE"),IF(G140&gt;=6,IF(E140&gt;=20,"H","A"),IF(G140&gt;=2,IF(E140&gt;=51,"H",IF(E140&lt;=19,"L","A")),IF(E140&lt;=50,"L","A"))),""))))</f>
      </c>
      <c r="M140" t="s" s="136">
        <f>CONCATENATE(C140,D140)</f>
      </c>
      <c r="N140" t="s" s="136">
        <f>IF(OR(K140="",K140=0),O140,K140)</f>
      </c>
      <c r="O140" t="s" s="138">
        <f>_xlfn.IFERROR(IF(NOT(ISERROR(VLOOKUP(C140,'Deflatores Sisp'!G$42:H$70,2,FALSE))),VLOOKUP(C140,'Deflatores Sisp'!G$42:H$70,2,FALSE),IF(OR(ISBLANK(D140),ISBLANK(C140)),"",VLOOKUP(D140,'Deflatores Sisp'!G$4:H$38,2,FALSE)*K140+VLOOKUP(D140,'Deflatores Sisp'!G$4:I$38,3,FALSE)))*W140,"")</f>
      </c>
      <c r="P140" t="s" s="156">
        <v>80</v>
      </c>
      <c r="Q140" t="s" s="136">
        <v>80</v>
      </c>
      <c r="R140" t="s" s="136">
        <v>80</v>
      </c>
      <c r="S140" t="s" s="136">
        <v>80</v>
      </c>
      <c r="T140" s="149"/>
      <c r="U140" t="s" s="136">
        <v>80</v>
      </c>
      <c r="V140" s="141"/>
      <c r="W140" s="142">
        <f>IF(V140="",SUM(Z140:AE140),IF(C140="PA",E140,100%))</f>
        <v>0.95</v>
      </c>
      <c r="X140" s="143"/>
      <c r="Y140" s="144"/>
      <c r="Z140" s="145">
        <f>IF(P140="x",25%,0)</f>
        <v>0.25</v>
      </c>
      <c r="AA140" s="145">
        <f>IF(Q140="x",10%,0)</f>
        <v>0.1</v>
      </c>
      <c r="AB140" s="145">
        <f>IF(R140="x",40%,0)</f>
        <v>0.4</v>
      </c>
      <c r="AC140" s="145">
        <f>IF(S140="x",15%,0)</f>
        <v>0.15</v>
      </c>
      <c r="AD140" s="145">
        <f>IF(T140="x",5%,0)</f>
        <v>0</v>
      </c>
      <c r="AE140" s="145">
        <f>IF(U140="x",5%,0)</f>
        <v>0.05</v>
      </c>
    </row>
    <row r="141" s="90" customFormat="1" ht="33" customHeight="1">
      <c r="A141" s="133"/>
      <c r="B141" s="171"/>
      <c r="C141" s="132"/>
      <c r="D141" s="132"/>
      <c r="E141" s="132"/>
      <c r="F141" s="133"/>
      <c r="G141" s="132"/>
      <c r="H141" s="172"/>
      <c r="I141" t="s" s="135">
        <f>IF(ISBLANK(C141),"",IF(L141="L","Baixa",IF(L141="A","Média",IF(L141="","","Alta"))))</f>
      </c>
      <c r="J141" t="s" s="136">
        <f>CONCATENATE(C141,L141)</f>
      </c>
      <c r="K141" t="s" s="136">
        <f>IF(ISBLANK(C141),"",IF(C141="ALI",IF(L141="L",7,IF(L141="A",10,15)),IF(C141="AIE",IF(L141="L",5,IF(L141="A",7,10)),IF(C141="SE",IF(L141="L",4,IF(L141="A",5,7)),IF(OR(C141="EE",C141="CE"),IF(L141="L",3,IF(L141="A",4,6)),0)))))</f>
      </c>
      <c r="L141" t="s" s="137">
        <f>IF(OR(ISBLANK(E141),ISBLANK(G141)),IF(OR(C141="ALI",C141="AIE"),"L",IF(OR(C141="EE",C141="SE",C141="CE"),"A","")),IF(C141="EE",IF(G141&gt;=3,IF(E141&gt;=5,"H","A"),IF(G141&gt;=2,IF(E141&gt;=16,"H",IF(E141&lt;=4,"L","A")),IF(E141&lt;=15,"L","A"))),IF(OR(C141="SE",C141="CE"),IF(G141&gt;=4,IF(E141&gt;=6,"H","A"),IF(G141&gt;=2,IF(E141&gt;=20,"H",IF(E141&lt;=5,"L","A")),IF(E141&lt;=19,"L","A"))),IF(OR(C141="ALI",C141="AIE"),IF(G141&gt;=6,IF(E141&gt;=20,"H","A"),IF(G141&gt;=2,IF(E141&gt;=51,"H",IF(E141&lt;=19,"L","A")),IF(E141&lt;=50,"L","A"))),""))))</f>
      </c>
      <c r="M141" t="s" s="136">
        <f>CONCATENATE(C141,D141)</f>
      </c>
      <c r="N141" t="s" s="136">
        <f>IF(OR(K141="",K141=0),O141,K141)</f>
      </c>
      <c r="O141" t="s" s="138">
        <f>_xlfn.IFERROR(IF(NOT(ISERROR(VLOOKUP(C141,'Deflatores Sisp'!G$42:H$70,2,FALSE))),VLOOKUP(C141,'Deflatores Sisp'!G$42:H$70,2,FALSE),IF(OR(ISBLANK(D141),ISBLANK(C141)),"",VLOOKUP(D141,'Deflatores Sisp'!G$4:H$38,2,FALSE)*K141+VLOOKUP(D141,'Deflatores Sisp'!G$4:I$38,3,FALSE)))*W141,"")</f>
      </c>
      <c r="P141" t="s" s="156">
        <v>80</v>
      </c>
      <c r="Q141" t="s" s="136">
        <v>80</v>
      </c>
      <c r="R141" t="s" s="136">
        <v>80</v>
      </c>
      <c r="S141" t="s" s="136">
        <v>80</v>
      </c>
      <c r="T141" s="149"/>
      <c r="U141" t="s" s="136">
        <v>80</v>
      </c>
      <c r="V141" s="141"/>
      <c r="W141" s="142">
        <f>IF(V141="",SUM(Z141:AE141),IF(C141="PA",E141,100%))</f>
        <v>0.95</v>
      </c>
      <c r="X141" s="143"/>
      <c r="Y141" s="144"/>
      <c r="Z141" s="145">
        <f>IF(P141="x",25%,0)</f>
        <v>0.25</v>
      </c>
      <c r="AA141" s="145">
        <f>IF(Q141="x",10%,0)</f>
        <v>0.1</v>
      </c>
      <c r="AB141" s="145">
        <f>IF(R141="x",40%,0)</f>
        <v>0.4</v>
      </c>
      <c r="AC141" s="145">
        <f>IF(S141="x",15%,0)</f>
        <v>0.15</v>
      </c>
      <c r="AD141" s="145">
        <f>IF(T141="x",5%,0)</f>
        <v>0</v>
      </c>
      <c r="AE141" s="145">
        <f>IF(U141="x",5%,0)</f>
        <v>0.05</v>
      </c>
    </row>
    <row r="142" s="90" customFormat="1" ht="33" customHeight="1">
      <c r="A142" s="133"/>
      <c r="B142" s="171"/>
      <c r="C142" s="132"/>
      <c r="D142" s="132"/>
      <c r="E142" s="132"/>
      <c r="F142" s="133"/>
      <c r="G142" s="132"/>
      <c r="H142" s="172"/>
      <c r="I142" t="s" s="135">
        <f>IF(ISBLANK(C142),"",IF(L142="L","Baixa",IF(L142="A","Média",IF(L142="","","Alta"))))</f>
      </c>
      <c r="J142" t="s" s="136">
        <f>CONCATENATE(C142,L142)</f>
      </c>
      <c r="K142" t="s" s="136">
        <f>IF(ISBLANK(C142),"",IF(C142="ALI",IF(L142="L",7,IF(L142="A",10,15)),IF(C142="AIE",IF(L142="L",5,IF(L142="A",7,10)),IF(C142="SE",IF(L142="L",4,IF(L142="A",5,7)),IF(OR(C142="EE",C142="CE"),IF(L142="L",3,IF(L142="A",4,6)),0)))))</f>
      </c>
      <c r="L142" t="s" s="137">
        <f>IF(OR(ISBLANK(E142),ISBLANK(G142)),IF(OR(C142="ALI",C142="AIE"),"L",IF(OR(C142="EE",C142="SE",C142="CE"),"A","")),IF(C142="EE",IF(G142&gt;=3,IF(E142&gt;=5,"H","A"),IF(G142&gt;=2,IF(E142&gt;=16,"H",IF(E142&lt;=4,"L","A")),IF(E142&lt;=15,"L","A"))),IF(OR(C142="SE",C142="CE"),IF(G142&gt;=4,IF(E142&gt;=6,"H","A"),IF(G142&gt;=2,IF(E142&gt;=20,"H",IF(E142&lt;=5,"L","A")),IF(E142&lt;=19,"L","A"))),IF(OR(C142="ALI",C142="AIE"),IF(G142&gt;=6,IF(E142&gt;=20,"H","A"),IF(G142&gt;=2,IF(E142&gt;=51,"H",IF(E142&lt;=19,"L","A")),IF(E142&lt;=50,"L","A"))),""))))</f>
      </c>
      <c r="M142" t="s" s="136">
        <f>CONCATENATE(C142,D142)</f>
      </c>
      <c r="N142" t="s" s="136">
        <f>IF(OR(K142="",K142=0),O142,K142)</f>
      </c>
      <c r="O142" t="s" s="138">
        <f>_xlfn.IFERROR(IF(NOT(ISERROR(VLOOKUP(C142,'Deflatores Sisp'!G$42:H$70,2,FALSE))),VLOOKUP(C142,'Deflatores Sisp'!G$42:H$70,2,FALSE),IF(OR(ISBLANK(D142),ISBLANK(C142)),"",VLOOKUP(D142,'Deflatores Sisp'!G$4:H$38,2,FALSE)*K142+VLOOKUP(D142,'Deflatores Sisp'!G$4:I$38,3,FALSE)))*W142,"")</f>
      </c>
      <c r="P142" t="s" s="156">
        <v>80</v>
      </c>
      <c r="Q142" t="s" s="136">
        <v>80</v>
      </c>
      <c r="R142" t="s" s="136">
        <v>80</v>
      </c>
      <c r="S142" t="s" s="136">
        <v>80</v>
      </c>
      <c r="T142" s="149"/>
      <c r="U142" t="s" s="136">
        <v>80</v>
      </c>
      <c r="V142" s="141"/>
      <c r="W142" s="142">
        <f>IF(V142="",SUM(Z142:AE142),IF(C142="PA",E142,100%))</f>
        <v>0.95</v>
      </c>
      <c r="X142" s="143"/>
      <c r="Y142" s="144"/>
      <c r="Z142" s="145">
        <f>IF(P142="x",25%,0)</f>
        <v>0.25</v>
      </c>
      <c r="AA142" s="145">
        <f>IF(Q142="x",10%,0)</f>
        <v>0.1</v>
      </c>
      <c r="AB142" s="145">
        <f>IF(R142="x",40%,0)</f>
        <v>0.4</v>
      </c>
      <c r="AC142" s="145">
        <f>IF(S142="x",15%,0)</f>
        <v>0.15</v>
      </c>
      <c r="AD142" s="145">
        <f>IF(T142="x",5%,0)</f>
        <v>0</v>
      </c>
      <c r="AE142" s="145">
        <f>IF(U142="x",5%,0)</f>
        <v>0.05</v>
      </c>
    </row>
    <row r="143" s="90" customFormat="1" ht="33" customHeight="1">
      <c r="A143" s="133"/>
      <c r="B143" s="171"/>
      <c r="C143" s="132"/>
      <c r="D143" s="132"/>
      <c r="E143" s="132"/>
      <c r="F143" s="133"/>
      <c r="G143" s="132"/>
      <c r="H143" s="172"/>
      <c r="I143" t="s" s="135">
        <f>IF(ISBLANK(C143),"",IF(L143="L","Baixa",IF(L143="A","Média",IF(L143="","","Alta"))))</f>
      </c>
      <c r="J143" t="s" s="136">
        <f>CONCATENATE(C143,L143)</f>
      </c>
      <c r="K143" t="s" s="136">
        <f>IF(ISBLANK(C143),"",IF(C143="ALI",IF(L143="L",7,IF(L143="A",10,15)),IF(C143="AIE",IF(L143="L",5,IF(L143="A",7,10)),IF(C143="SE",IF(L143="L",4,IF(L143="A",5,7)),IF(OR(C143="EE",C143="CE"),IF(L143="L",3,IF(L143="A",4,6)),0)))))</f>
      </c>
      <c r="L143" t="s" s="137">
        <f>IF(OR(ISBLANK(E143),ISBLANK(G143)),IF(OR(C143="ALI",C143="AIE"),"L",IF(OR(C143="EE",C143="SE",C143="CE"),"A","")),IF(C143="EE",IF(G143&gt;=3,IF(E143&gt;=5,"H","A"),IF(G143&gt;=2,IF(E143&gt;=16,"H",IF(E143&lt;=4,"L","A")),IF(E143&lt;=15,"L","A"))),IF(OR(C143="SE",C143="CE"),IF(G143&gt;=4,IF(E143&gt;=6,"H","A"),IF(G143&gt;=2,IF(E143&gt;=20,"H",IF(E143&lt;=5,"L","A")),IF(E143&lt;=19,"L","A"))),IF(OR(C143="ALI",C143="AIE"),IF(G143&gt;=6,IF(E143&gt;=20,"H","A"),IF(G143&gt;=2,IF(E143&gt;=51,"H",IF(E143&lt;=19,"L","A")),IF(E143&lt;=50,"L","A"))),""))))</f>
      </c>
      <c r="M143" t="s" s="136">
        <f>CONCATENATE(C143,D143)</f>
      </c>
      <c r="N143" t="s" s="136">
        <f>IF(OR(K143="",K143=0),O143,K143)</f>
      </c>
      <c r="O143" t="s" s="138">
        <f>_xlfn.IFERROR(IF(NOT(ISERROR(VLOOKUP(C143,'Deflatores Sisp'!G$42:H$70,2,FALSE))),VLOOKUP(C143,'Deflatores Sisp'!G$42:H$70,2,FALSE),IF(OR(ISBLANK(D143),ISBLANK(C143)),"",VLOOKUP(D143,'Deflatores Sisp'!G$4:H$38,2,FALSE)*K143+VLOOKUP(D143,'Deflatores Sisp'!G$4:I$38,3,FALSE)))*W143,"")</f>
      </c>
      <c r="P143" t="s" s="156">
        <v>80</v>
      </c>
      <c r="Q143" t="s" s="136">
        <v>80</v>
      </c>
      <c r="R143" t="s" s="136">
        <v>80</v>
      </c>
      <c r="S143" t="s" s="136">
        <v>80</v>
      </c>
      <c r="T143" s="149"/>
      <c r="U143" t="s" s="136">
        <v>80</v>
      </c>
      <c r="V143" s="141"/>
      <c r="W143" s="142">
        <f>IF(V143="",SUM(Z143:AE143),IF(C143="PA",E143,100%))</f>
        <v>0.95</v>
      </c>
      <c r="X143" s="143"/>
      <c r="Y143" s="144"/>
      <c r="Z143" s="145">
        <f>IF(P143="x",25%,0)</f>
        <v>0.25</v>
      </c>
      <c r="AA143" s="145">
        <f>IF(Q143="x",10%,0)</f>
        <v>0.1</v>
      </c>
      <c r="AB143" s="145">
        <f>IF(R143="x",40%,0)</f>
        <v>0.4</v>
      </c>
      <c r="AC143" s="145">
        <f>IF(S143="x",15%,0)</f>
        <v>0.15</v>
      </c>
      <c r="AD143" s="145">
        <f>IF(T143="x",5%,0)</f>
        <v>0</v>
      </c>
      <c r="AE143" s="145">
        <f>IF(U143="x",5%,0)</f>
        <v>0.05</v>
      </c>
    </row>
    <row r="144" s="90" customFormat="1" ht="33" customHeight="1">
      <c r="A144" s="133"/>
      <c r="B144" s="171"/>
      <c r="C144" s="132"/>
      <c r="D144" s="132"/>
      <c r="E144" s="132"/>
      <c r="F144" s="133"/>
      <c r="G144" s="132"/>
      <c r="H144" s="172"/>
      <c r="I144" t="s" s="135">
        <f>IF(ISBLANK(C144),"",IF(L144="L","Baixa",IF(L144="A","Média",IF(L144="","","Alta"))))</f>
      </c>
      <c r="J144" t="s" s="136">
        <f>CONCATENATE(C144,L144)</f>
      </c>
      <c r="K144" t="s" s="136">
        <f>IF(ISBLANK(C144),"",IF(C144="ALI",IF(L144="L",7,IF(L144="A",10,15)),IF(C144="AIE",IF(L144="L",5,IF(L144="A",7,10)),IF(C144="SE",IF(L144="L",4,IF(L144="A",5,7)),IF(OR(C144="EE",C144="CE"),IF(L144="L",3,IF(L144="A",4,6)),0)))))</f>
      </c>
      <c r="L144" t="s" s="137">
        <f>IF(OR(ISBLANK(E144),ISBLANK(G144)),IF(OR(C144="ALI",C144="AIE"),"L",IF(OR(C144="EE",C144="SE",C144="CE"),"A","")),IF(C144="EE",IF(G144&gt;=3,IF(E144&gt;=5,"H","A"),IF(G144&gt;=2,IF(E144&gt;=16,"H",IF(E144&lt;=4,"L","A")),IF(E144&lt;=15,"L","A"))),IF(OR(C144="SE",C144="CE"),IF(G144&gt;=4,IF(E144&gt;=6,"H","A"),IF(G144&gt;=2,IF(E144&gt;=20,"H",IF(E144&lt;=5,"L","A")),IF(E144&lt;=19,"L","A"))),IF(OR(C144="ALI",C144="AIE"),IF(G144&gt;=6,IF(E144&gt;=20,"H","A"),IF(G144&gt;=2,IF(E144&gt;=51,"H",IF(E144&lt;=19,"L","A")),IF(E144&lt;=50,"L","A"))),""))))</f>
      </c>
      <c r="M144" t="s" s="136">
        <f>CONCATENATE(C144,D144)</f>
      </c>
      <c r="N144" t="s" s="136">
        <f>IF(OR(K144="",K144=0),O144,K144)</f>
      </c>
      <c r="O144" t="s" s="138">
        <f>_xlfn.IFERROR(IF(NOT(ISERROR(VLOOKUP(C144,'Deflatores Sisp'!G$42:H$70,2,FALSE))),VLOOKUP(C144,'Deflatores Sisp'!G$42:H$70,2,FALSE),IF(OR(ISBLANK(D144),ISBLANK(C144)),"",VLOOKUP(D144,'Deflatores Sisp'!G$4:H$38,2,FALSE)*K144+VLOOKUP(D144,'Deflatores Sisp'!G$4:I$38,3,FALSE)))*W144,"")</f>
      </c>
      <c r="P144" t="s" s="156">
        <v>80</v>
      </c>
      <c r="Q144" t="s" s="136">
        <v>80</v>
      </c>
      <c r="R144" t="s" s="136">
        <v>80</v>
      </c>
      <c r="S144" t="s" s="136">
        <v>80</v>
      </c>
      <c r="T144" s="149"/>
      <c r="U144" t="s" s="136">
        <v>80</v>
      </c>
      <c r="V144" s="141"/>
      <c r="W144" s="142">
        <f>IF(V144="",SUM(Z144:AE144),IF(C144="PA",E144,100%))</f>
        <v>0.95</v>
      </c>
      <c r="X144" s="143"/>
      <c r="Y144" s="144"/>
      <c r="Z144" s="145">
        <f>IF(P144="x",25%,0)</f>
        <v>0.25</v>
      </c>
      <c r="AA144" s="145">
        <f>IF(Q144="x",10%,0)</f>
        <v>0.1</v>
      </c>
      <c r="AB144" s="145">
        <f>IF(R144="x",40%,0)</f>
        <v>0.4</v>
      </c>
      <c r="AC144" s="145">
        <f>IF(S144="x",15%,0)</f>
        <v>0.15</v>
      </c>
      <c r="AD144" s="145">
        <f>IF(T144="x",5%,0)</f>
        <v>0</v>
      </c>
      <c r="AE144" s="145">
        <f>IF(U144="x",5%,0)</f>
        <v>0.05</v>
      </c>
    </row>
    <row r="145" s="90" customFormat="1" ht="33" customHeight="1">
      <c r="A145" s="133"/>
      <c r="B145" s="171"/>
      <c r="C145" s="132"/>
      <c r="D145" s="132"/>
      <c r="E145" s="132"/>
      <c r="F145" s="133"/>
      <c r="G145" s="132"/>
      <c r="H145" s="172"/>
      <c r="I145" t="s" s="135">
        <f>IF(ISBLANK(C145),"",IF(L145="L","Baixa",IF(L145="A","Média",IF(L145="","","Alta"))))</f>
      </c>
      <c r="J145" t="s" s="136">
        <f>CONCATENATE(C145,L145)</f>
      </c>
      <c r="K145" t="s" s="136">
        <f>IF(ISBLANK(C145),"",IF(C145="ALI",IF(L145="L",7,IF(L145="A",10,15)),IF(C145="AIE",IF(L145="L",5,IF(L145="A",7,10)),IF(C145="SE",IF(L145="L",4,IF(L145="A",5,7)),IF(OR(C145="EE",C145="CE"),IF(L145="L",3,IF(L145="A",4,6)),0)))))</f>
      </c>
      <c r="L145" t="s" s="137">
        <f>IF(OR(ISBLANK(E145),ISBLANK(G145)),IF(OR(C145="ALI",C145="AIE"),"L",IF(OR(C145="EE",C145="SE",C145="CE"),"A","")),IF(C145="EE",IF(G145&gt;=3,IF(E145&gt;=5,"H","A"),IF(G145&gt;=2,IF(E145&gt;=16,"H",IF(E145&lt;=4,"L","A")),IF(E145&lt;=15,"L","A"))),IF(OR(C145="SE",C145="CE"),IF(G145&gt;=4,IF(E145&gt;=6,"H","A"),IF(G145&gt;=2,IF(E145&gt;=20,"H",IF(E145&lt;=5,"L","A")),IF(E145&lt;=19,"L","A"))),IF(OR(C145="ALI",C145="AIE"),IF(G145&gt;=6,IF(E145&gt;=20,"H","A"),IF(G145&gt;=2,IF(E145&gt;=51,"H",IF(E145&lt;=19,"L","A")),IF(E145&lt;=50,"L","A"))),""))))</f>
      </c>
      <c r="M145" t="s" s="136">
        <f>CONCATENATE(C145,D145)</f>
      </c>
      <c r="N145" t="s" s="136">
        <f>IF(OR(K145="",K145=0),O145,K145)</f>
      </c>
      <c r="O145" t="s" s="138">
        <f>_xlfn.IFERROR(IF(NOT(ISERROR(VLOOKUP(C145,'Deflatores Sisp'!G$42:H$70,2,FALSE))),VLOOKUP(C145,'Deflatores Sisp'!G$42:H$70,2,FALSE),IF(OR(ISBLANK(D145),ISBLANK(C145)),"",VLOOKUP(D145,'Deflatores Sisp'!G$4:H$38,2,FALSE)*K145+VLOOKUP(D145,'Deflatores Sisp'!G$4:I$38,3,FALSE)))*W145,"")</f>
      </c>
      <c r="P145" t="s" s="156">
        <v>80</v>
      </c>
      <c r="Q145" t="s" s="136">
        <v>80</v>
      </c>
      <c r="R145" t="s" s="136">
        <v>80</v>
      </c>
      <c r="S145" t="s" s="136">
        <v>80</v>
      </c>
      <c r="T145" s="149"/>
      <c r="U145" t="s" s="136">
        <v>80</v>
      </c>
      <c r="V145" s="141"/>
      <c r="W145" s="142">
        <f>IF(V145="",SUM(Z145:AE145),IF(C145="PA",E145,100%))</f>
        <v>0.95</v>
      </c>
      <c r="X145" s="143"/>
      <c r="Y145" s="144"/>
      <c r="Z145" s="145">
        <f>IF(P145="x",25%,0)</f>
        <v>0.25</v>
      </c>
      <c r="AA145" s="145">
        <f>IF(Q145="x",10%,0)</f>
        <v>0.1</v>
      </c>
      <c r="AB145" s="145">
        <f>IF(R145="x",40%,0)</f>
        <v>0.4</v>
      </c>
      <c r="AC145" s="145">
        <f>IF(S145="x",15%,0)</f>
        <v>0.15</v>
      </c>
      <c r="AD145" s="145">
        <f>IF(T145="x",5%,0)</f>
        <v>0</v>
      </c>
      <c r="AE145" s="145">
        <f>IF(U145="x",5%,0)</f>
        <v>0.05</v>
      </c>
    </row>
    <row r="146" s="90" customFormat="1" ht="33" customHeight="1">
      <c r="A146" s="133"/>
      <c r="B146" s="171"/>
      <c r="C146" s="132"/>
      <c r="D146" s="132"/>
      <c r="E146" s="132"/>
      <c r="F146" s="133"/>
      <c r="G146" s="132"/>
      <c r="H146" s="172"/>
      <c r="I146" t="s" s="135">
        <f>IF(ISBLANK(C146),"",IF(L146="L","Baixa",IF(L146="A","Média",IF(L146="","","Alta"))))</f>
      </c>
      <c r="J146" t="s" s="136">
        <f>CONCATENATE(C146,L146)</f>
      </c>
      <c r="K146" t="s" s="136">
        <f>IF(ISBLANK(C146),"",IF(C146="ALI",IF(L146="L",7,IF(L146="A",10,15)),IF(C146="AIE",IF(L146="L",5,IF(L146="A",7,10)),IF(C146="SE",IF(L146="L",4,IF(L146="A",5,7)),IF(OR(C146="EE",C146="CE"),IF(L146="L",3,IF(L146="A",4,6)),0)))))</f>
      </c>
      <c r="L146" t="s" s="137">
        <f>IF(OR(ISBLANK(E146),ISBLANK(G146)),IF(OR(C146="ALI",C146="AIE"),"L",IF(OR(C146="EE",C146="SE",C146="CE"),"A","")),IF(C146="EE",IF(G146&gt;=3,IF(E146&gt;=5,"H","A"),IF(G146&gt;=2,IF(E146&gt;=16,"H",IF(E146&lt;=4,"L","A")),IF(E146&lt;=15,"L","A"))),IF(OR(C146="SE",C146="CE"),IF(G146&gt;=4,IF(E146&gt;=6,"H","A"),IF(G146&gt;=2,IF(E146&gt;=20,"H",IF(E146&lt;=5,"L","A")),IF(E146&lt;=19,"L","A"))),IF(OR(C146="ALI",C146="AIE"),IF(G146&gt;=6,IF(E146&gt;=20,"H","A"),IF(G146&gt;=2,IF(E146&gt;=51,"H",IF(E146&lt;=19,"L","A")),IF(E146&lt;=50,"L","A"))),""))))</f>
      </c>
      <c r="M146" t="s" s="136">
        <f>CONCATENATE(C146,D146)</f>
      </c>
      <c r="N146" t="s" s="136">
        <f>IF(OR(K146="",K146=0),O146,K146)</f>
      </c>
      <c r="O146" t="s" s="138">
        <f>_xlfn.IFERROR(IF(NOT(ISERROR(VLOOKUP(C146,'Deflatores Sisp'!G$42:H$70,2,FALSE))),VLOOKUP(C146,'Deflatores Sisp'!G$42:H$70,2,FALSE),IF(OR(ISBLANK(D146),ISBLANK(C146)),"",VLOOKUP(D146,'Deflatores Sisp'!G$4:H$38,2,FALSE)*K146+VLOOKUP(D146,'Deflatores Sisp'!G$4:I$38,3,FALSE)))*W146,"")</f>
      </c>
      <c r="P146" t="s" s="156">
        <v>80</v>
      </c>
      <c r="Q146" t="s" s="136">
        <v>80</v>
      </c>
      <c r="R146" t="s" s="136">
        <v>80</v>
      </c>
      <c r="S146" t="s" s="136">
        <v>80</v>
      </c>
      <c r="T146" s="149"/>
      <c r="U146" t="s" s="136">
        <v>80</v>
      </c>
      <c r="V146" s="141"/>
      <c r="W146" s="142">
        <f>IF(V146="",SUM(Z146:AE146),IF(C146="PA",E146,100%))</f>
        <v>0.95</v>
      </c>
      <c r="X146" s="143"/>
      <c r="Y146" s="144"/>
      <c r="Z146" s="145">
        <f>IF(P146="x",25%,0)</f>
        <v>0.25</v>
      </c>
      <c r="AA146" s="145">
        <f>IF(Q146="x",10%,0)</f>
        <v>0.1</v>
      </c>
      <c r="AB146" s="145">
        <f>IF(R146="x",40%,0)</f>
        <v>0.4</v>
      </c>
      <c r="AC146" s="145">
        <f>IF(S146="x",15%,0)</f>
        <v>0.15</v>
      </c>
      <c r="AD146" s="145">
        <f>IF(T146="x",5%,0)</f>
        <v>0</v>
      </c>
      <c r="AE146" s="145">
        <f>IF(U146="x",5%,0)</f>
        <v>0.05</v>
      </c>
    </row>
    <row r="147" s="90" customFormat="1" ht="33" customHeight="1">
      <c r="A147" s="133"/>
      <c r="B147" s="133"/>
      <c r="C147" s="132"/>
      <c r="D147" s="132"/>
      <c r="E147" s="132"/>
      <c r="F147" s="133"/>
      <c r="G147" s="132"/>
      <c r="H147" s="172"/>
      <c r="I147" t="s" s="135">
        <f>IF(ISBLANK(C147),"",IF(L147="L","Baixa",IF(L147="A","Média",IF(L147="","","Alta"))))</f>
      </c>
      <c r="J147" t="s" s="136">
        <f>CONCATENATE(C147,L147)</f>
      </c>
      <c r="K147" t="s" s="136">
        <f>IF(ISBLANK(C147),"",IF(C147="ALI",IF(L147="L",7,IF(L147="A",10,15)),IF(C147="AIE",IF(L147="L",5,IF(L147="A",7,10)),IF(C147="SE",IF(L147="L",4,IF(L147="A",5,7)),IF(OR(C147="EE",C147="CE"),IF(L147="L",3,IF(L147="A",4,6)),0)))))</f>
      </c>
      <c r="L147" t="s" s="137">
        <f>IF(OR(ISBLANK(E147),ISBLANK(G147)),IF(OR(C147="ALI",C147="AIE"),"L",IF(OR(C147="EE",C147="SE",C147="CE"),"A","")),IF(C147="EE",IF(G147&gt;=3,IF(E147&gt;=5,"H","A"),IF(G147&gt;=2,IF(E147&gt;=16,"H",IF(E147&lt;=4,"L","A")),IF(E147&lt;=15,"L","A"))),IF(OR(C147="SE",C147="CE"),IF(G147&gt;=4,IF(E147&gt;=6,"H","A"),IF(G147&gt;=2,IF(E147&gt;=20,"H",IF(E147&lt;=5,"L","A")),IF(E147&lt;=19,"L","A"))),IF(OR(C147="ALI",C147="AIE"),IF(G147&gt;=6,IF(E147&gt;=20,"H","A"),IF(G147&gt;=2,IF(E147&gt;=51,"H",IF(E147&lt;=19,"L","A")),IF(E147&lt;=50,"L","A"))),""))))</f>
      </c>
      <c r="M147" t="s" s="136">
        <f>CONCATENATE(C147,D147)</f>
      </c>
      <c r="N147" t="s" s="136">
        <f>IF(OR(K147="",K147=0),O147,K147)</f>
      </c>
      <c r="O147" t="s" s="138">
        <f>_xlfn.IFERROR(IF(NOT(ISERROR(VLOOKUP(C147,'Deflatores Sisp'!G$42:H$70,2,FALSE))),VLOOKUP(C147,'Deflatores Sisp'!G$42:H$70,2,FALSE),IF(OR(ISBLANK(D147),ISBLANK(C147)),"",VLOOKUP(D147,'Deflatores Sisp'!G$4:H$38,2,FALSE)*K147+VLOOKUP(D147,'Deflatores Sisp'!G$4:I$38,3,FALSE)))*W147,"")</f>
      </c>
      <c r="P147" t="s" s="156">
        <v>80</v>
      </c>
      <c r="Q147" t="s" s="136">
        <v>80</v>
      </c>
      <c r="R147" t="s" s="136">
        <v>80</v>
      </c>
      <c r="S147" t="s" s="136">
        <v>80</v>
      </c>
      <c r="T147" s="149"/>
      <c r="U147" t="s" s="136">
        <v>80</v>
      </c>
      <c r="V147" s="141"/>
      <c r="W147" s="142">
        <f>IF(V147="",SUM(Z147:AE147),IF(C147="PA",E147,100%))</f>
        <v>0.95</v>
      </c>
      <c r="X147" s="143"/>
      <c r="Y147" s="144"/>
      <c r="Z147" s="145">
        <f>IF(P147="x",25%,0)</f>
        <v>0.25</v>
      </c>
      <c r="AA147" s="145">
        <f>IF(Q147="x",10%,0)</f>
        <v>0.1</v>
      </c>
      <c r="AB147" s="145">
        <f>IF(R147="x",40%,0)</f>
        <v>0.4</v>
      </c>
      <c r="AC147" s="145">
        <f>IF(S147="x",15%,0)</f>
        <v>0.15</v>
      </c>
      <c r="AD147" s="145">
        <f>IF(T147="x",5%,0)</f>
        <v>0</v>
      </c>
      <c r="AE147" s="145">
        <f>IF(U147="x",5%,0)</f>
        <v>0.05</v>
      </c>
    </row>
    <row r="148" s="90" customFormat="1" ht="33" customHeight="1">
      <c r="A148" s="133"/>
      <c r="B148" s="171"/>
      <c r="C148" s="132"/>
      <c r="D148" s="132"/>
      <c r="E148" s="132"/>
      <c r="F148" s="133"/>
      <c r="G148" s="132"/>
      <c r="H148" s="172"/>
      <c r="I148" t="s" s="135">
        <f>IF(ISBLANK(C148),"",IF(L148="L","Baixa",IF(L148="A","Média",IF(L148="","","Alta"))))</f>
      </c>
      <c r="J148" t="s" s="136">
        <f>CONCATENATE(C148,L148)</f>
      </c>
      <c r="K148" t="s" s="136">
        <f>IF(ISBLANK(C148),"",IF(C148="ALI",IF(L148="L",7,IF(L148="A",10,15)),IF(C148="AIE",IF(L148="L",5,IF(L148="A",7,10)),IF(C148="SE",IF(L148="L",4,IF(L148="A",5,7)),IF(OR(C148="EE",C148="CE"),IF(L148="L",3,IF(L148="A",4,6)),0)))))</f>
      </c>
      <c r="L148" t="s" s="137">
        <f>IF(OR(ISBLANK(E148),ISBLANK(G148)),IF(OR(C148="ALI",C148="AIE"),"L",IF(OR(C148="EE",C148="SE",C148="CE"),"A","")),IF(C148="EE",IF(G148&gt;=3,IF(E148&gt;=5,"H","A"),IF(G148&gt;=2,IF(E148&gt;=16,"H",IF(E148&lt;=4,"L","A")),IF(E148&lt;=15,"L","A"))),IF(OR(C148="SE",C148="CE"),IF(G148&gt;=4,IF(E148&gt;=6,"H","A"),IF(G148&gt;=2,IF(E148&gt;=20,"H",IF(E148&lt;=5,"L","A")),IF(E148&lt;=19,"L","A"))),IF(OR(C148="ALI",C148="AIE"),IF(G148&gt;=6,IF(E148&gt;=20,"H","A"),IF(G148&gt;=2,IF(E148&gt;=51,"H",IF(E148&lt;=19,"L","A")),IF(E148&lt;=50,"L","A"))),""))))</f>
      </c>
      <c r="M148" t="s" s="136">
        <f>CONCATENATE(C148,D148)</f>
      </c>
      <c r="N148" t="s" s="136">
        <f>IF(OR(K148="",K148=0),O148,K148)</f>
      </c>
      <c r="O148" t="s" s="138">
        <f>_xlfn.IFERROR(IF(NOT(ISERROR(VLOOKUP(C148,'Deflatores Sisp'!G$42:H$70,2,FALSE))),VLOOKUP(C148,'Deflatores Sisp'!G$42:H$70,2,FALSE),IF(OR(ISBLANK(D148),ISBLANK(C148)),"",VLOOKUP(D148,'Deflatores Sisp'!G$4:H$38,2,FALSE)*K148+VLOOKUP(D148,'Deflatores Sisp'!G$4:I$38,3,FALSE)))*W148,"")</f>
      </c>
      <c r="P148" t="s" s="156">
        <v>80</v>
      </c>
      <c r="Q148" t="s" s="136">
        <v>80</v>
      </c>
      <c r="R148" t="s" s="136">
        <v>80</v>
      </c>
      <c r="S148" t="s" s="136">
        <v>80</v>
      </c>
      <c r="T148" s="149"/>
      <c r="U148" t="s" s="136">
        <v>80</v>
      </c>
      <c r="V148" s="141"/>
      <c r="W148" s="142">
        <f>IF(V148="",SUM(Z148:AE148),IF(C148="PA",E148,100%))</f>
        <v>0.95</v>
      </c>
      <c r="X148" s="143"/>
      <c r="Y148" s="144"/>
      <c r="Z148" s="145">
        <f>IF(P148="x",25%,0)</f>
        <v>0.25</v>
      </c>
      <c r="AA148" s="145">
        <f>IF(Q148="x",10%,0)</f>
        <v>0.1</v>
      </c>
      <c r="AB148" s="145">
        <f>IF(R148="x",40%,0)</f>
        <v>0.4</v>
      </c>
      <c r="AC148" s="145">
        <f>IF(S148="x",15%,0)</f>
        <v>0.15</v>
      </c>
      <c r="AD148" s="145">
        <f>IF(T148="x",5%,0)</f>
        <v>0</v>
      </c>
      <c r="AE148" s="145">
        <f>IF(U148="x",5%,0)</f>
        <v>0.05</v>
      </c>
    </row>
    <row r="149" s="90" customFormat="1" ht="13.65" customHeight="1">
      <c r="A149" s="133"/>
      <c r="B149" s="171"/>
      <c r="C149" s="132"/>
      <c r="D149" s="132"/>
      <c r="E149" s="132"/>
      <c r="F149" s="133"/>
      <c r="G149" s="132"/>
      <c r="H149" s="172"/>
      <c r="I149" t="s" s="135">
        <f>IF(ISBLANK(C149),"",IF(L149="L","Baixa",IF(L149="A","Média",IF(L149="","","Alta"))))</f>
      </c>
      <c r="J149" t="s" s="136">
        <f>CONCATENATE(C149,L149)</f>
      </c>
      <c r="K149" t="s" s="136">
        <f>IF(ISBLANK(C149),"",IF(C149="ALI",IF(L149="L",7,IF(L149="A",10,15)),IF(C149="AIE",IF(L149="L",5,IF(L149="A",7,10)),IF(C149="SE",IF(L149="L",4,IF(L149="A",5,7)),IF(OR(C149="EE",C149="CE"),IF(L149="L",3,IF(L149="A",4,6)),0)))))</f>
      </c>
      <c r="L149" t="s" s="137">
        <f>IF(OR(ISBLANK(E149),ISBLANK(G149)),IF(OR(C149="ALI",C149="AIE"),"L",IF(OR(C149="EE",C149="SE",C149="CE"),"A","")),IF(C149="EE",IF(G149&gt;=3,IF(E149&gt;=5,"H","A"),IF(G149&gt;=2,IF(E149&gt;=16,"H",IF(E149&lt;=4,"L","A")),IF(E149&lt;=15,"L","A"))),IF(OR(C149="SE",C149="CE"),IF(G149&gt;=4,IF(E149&gt;=6,"H","A"),IF(G149&gt;=2,IF(E149&gt;=20,"H",IF(E149&lt;=5,"L","A")),IF(E149&lt;=19,"L","A"))),IF(OR(C149="ALI",C149="AIE"),IF(G149&gt;=6,IF(E149&gt;=20,"H","A"),IF(G149&gt;=2,IF(E149&gt;=51,"H",IF(E149&lt;=19,"L","A")),IF(E149&lt;=50,"L","A"))),""))))</f>
      </c>
      <c r="M149" t="s" s="136">
        <f>CONCATENATE(C149,D149)</f>
      </c>
      <c r="N149" t="s" s="136">
        <f>IF(OR(K149="",K149=0),O149,K149)</f>
      </c>
      <c r="O149" t="s" s="138">
        <f>_xlfn.IFERROR(IF(NOT(ISERROR(VLOOKUP(C149,'Deflatores Sisp'!G$42:H$70,2,FALSE))),VLOOKUP(C149,'Deflatores Sisp'!G$42:H$70,2,FALSE),IF(OR(ISBLANK(D149),ISBLANK(C149)),"",VLOOKUP(D149,'Deflatores Sisp'!G$4:H$38,2,FALSE)*K149+VLOOKUP(D149,'Deflatores Sisp'!G$4:I$38,3,FALSE)))*W149,"")</f>
      </c>
      <c r="P149" t="s" s="156">
        <v>80</v>
      </c>
      <c r="Q149" t="s" s="136">
        <v>80</v>
      </c>
      <c r="R149" t="s" s="136">
        <v>80</v>
      </c>
      <c r="S149" t="s" s="136">
        <v>80</v>
      </c>
      <c r="T149" s="149"/>
      <c r="U149" t="s" s="136">
        <v>80</v>
      </c>
      <c r="V149" s="141"/>
      <c r="W149" s="142">
        <f>IF(V149="",SUM(Z149:AE149),IF(C149="PA",E149,100%))</f>
        <v>0.95</v>
      </c>
      <c r="X149" s="143"/>
      <c r="Y149" s="144"/>
      <c r="Z149" s="145">
        <f>IF(P149="x",25%,0)</f>
        <v>0.25</v>
      </c>
      <c r="AA149" s="145">
        <f>IF(Q149="x",10%,0)</f>
        <v>0.1</v>
      </c>
      <c r="AB149" s="145">
        <f>IF(R149="x",40%,0)</f>
        <v>0.4</v>
      </c>
      <c r="AC149" s="145">
        <f>IF(S149="x",15%,0)</f>
        <v>0.15</v>
      </c>
      <c r="AD149" s="145">
        <f>IF(T149="x",5%,0)</f>
        <v>0</v>
      </c>
      <c r="AE149" s="145">
        <f>IF(U149="x",5%,0)</f>
        <v>0.05</v>
      </c>
    </row>
    <row r="150" s="90" customFormat="1" ht="13" customHeight="1">
      <c r="A150" s="133"/>
      <c r="B150" s="171"/>
      <c r="C150" s="132"/>
      <c r="D150" s="132"/>
      <c r="E150" s="132"/>
      <c r="F150" s="133"/>
      <c r="G150" s="132"/>
      <c r="H150" s="134"/>
      <c r="I150" s="176"/>
      <c r="J150" s="177"/>
      <c r="K150" s="177"/>
      <c r="L150" s="178"/>
      <c r="M150" s="177"/>
      <c r="N150" s="149"/>
      <c r="O150" s="155"/>
      <c r="P150" s="148"/>
      <c r="Q150" s="149"/>
      <c r="R150" s="149"/>
      <c r="S150" s="149"/>
      <c r="T150" s="149"/>
      <c r="U150" s="149"/>
      <c r="V150" s="141"/>
      <c r="W150" s="142"/>
      <c r="X150" s="179"/>
      <c r="Y150" s="180"/>
      <c r="Z150" s="181"/>
      <c r="AA150" s="181"/>
      <c r="AB150" s="181"/>
      <c r="AC150" s="181"/>
      <c r="AD150" s="181"/>
      <c r="AE150" s="181"/>
    </row>
    <row r="151" s="90" customFormat="1" ht="13" customHeight="1">
      <c r="A151" s="133"/>
      <c r="B151" s="171"/>
      <c r="C151" s="132"/>
      <c r="D151" s="132"/>
      <c r="E151" s="132"/>
      <c r="F151" s="133"/>
      <c r="G151" s="132"/>
      <c r="H151" s="134"/>
      <c r="I151" s="176"/>
      <c r="J151" s="177"/>
      <c r="K151" s="177"/>
      <c r="L151" s="178"/>
      <c r="M151" s="177"/>
      <c r="N151" s="149"/>
      <c r="O151" s="155"/>
      <c r="P151" s="148"/>
      <c r="Q151" s="149"/>
      <c r="R151" s="149"/>
      <c r="S151" s="149"/>
      <c r="T151" s="149"/>
      <c r="U151" s="149"/>
      <c r="V151" s="141"/>
      <c r="W151" s="142"/>
      <c r="X151" s="179"/>
      <c r="Y151" s="180"/>
      <c r="Z151" s="181"/>
      <c r="AA151" s="181"/>
      <c r="AB151" s="181"/>
      <c r="AC151" s="181"/>
      <c r="AD151" s="181"/>
      <c r="AE151" s="181"/>
    </row>
    <row r="152" s="90" customFormat="1" ht="13" customHeight="1">
      <c r="A152" s="133"/>
      <c r="B152" s="171"/>
      <c r="C152" s="132"/>
      <c r="D152" s="132"/>
      <c r="E152" s="132"/>
      <c r="F152" s="133"/>
      <c r="G152" s="132"/>
      <c r="H152" s="134"/>
      <c r="I152" s="176"/>
      <c r="J152" s="177"/>
      <c r="K152" s="177"/>
      <c r="L152" s="178"/>
      <c r="M152" s="177"/>
      <c r="N152" s="149"/>
      <c r="O152" s="155"/>
      <c r="P152" s="148"/>
      <c r="Q152" s="149"/>
      <c r="R152" s="149"/>
      <c r="S152" s="149"/>
      <c r="T152" s="149"/>
      <c r="U152" s="149"/>
      <c r="V152" s="141"/>
      <c r="W152" s="142"/>
      <c r="X152" s="179"/>
      <c r="Y152" s="180"/>
      <c r="Z152" s="181"/>
      <c r="AA152" s="181"/>
      <c r="AB152" s="181"/>
      <c r="AC152" s="181"/>
      <c r="AD152" s="181"/>
      <c r="AE152" s="181"/>
    </row>
    <row r="153" s="90" customFormat="1" ht="13" customHeight="1">
      <c r="A153" s="133"/>
      <c r="B153" s="171"/>
      <c r="C153" s="132"/>
      <c r="D153" s="132"/>
      <c r="E153" s="132"/>
      <c r="F153" s="133"/>
      <c r="G153" s="132"/>
      <c r="H153" s="134"/>
      <c r="I153" s="176"/>
      <c r="J153" s="177"/>
      <c r="K153" s="177"/>
      <c r="L153" s="178"/>
      <c r="M153" s="177"/>
      <c r="N153" s="149"/>
      <c r="O153" s="155"/>
      <c r="P153" s="148"/>
      <c r="Q153" s="149"/>
      <c r="R153" s="149"/>
      <c r="S153" s="149"/>
      <c r="T153" s="149"/>
      <c r="U153" s="149"/>
      <c r="V153" s="141"/>
      <c r="W153" s="142"/>
      <c r="X153" s="179"/>
      <c r="Y153" s="180"/>
      <c r="Z153" s="181"/>
      <c r="AA153" s="181"/>
      <c r="AB153" s="181"/>
      <c r="AC153" s="181"/>
      <c r="AD153" s="181"/>
      <c r="AE153" s="181"/>
    </row>
    <row r="154" s="90" customFormat="1" ht="13" customHeight="1">
      <c r="A154" s="133"/>
      <c r="B154" s="171"/>
      <c r="C154" s="132"/>
      <c r="D154" s="132"/>
      <c r="E154" s="132"/>
      <c r="F154" s="133"/>
      <c r="G154" s="132"/>
      <c r="H154" s="134"/>
      <c r="I154" s="176"/>
      <c r="J154" s="177"/>
      <c r="K154" s="177"/>
      <c r="L154" s="178"/>
      <c r="M154" s="177"/>
      <c r="N154" s="149"/>
      <c r="O154" s="155"/>
      <c r="P154" s="148"/>
      <c r="Q154" s="149"/>
      <c r="R154" s="149"/>
      <c r="S154" s="149"/>
      <c r="T154" s="149"/>
      <c r="U154" s="149"/>
      <c r="V154" s="141"/>
      <c r="W154" s="142"/>
      <c r="X154" s="179"/>
      <c r="Y154" s="180"/>
      <c r="Z154" s="181"/>
      <c r="AA154" s="181"/>
      <c r="AB154" s="181"/>
      <c r="AC154" s="181"/>
      <c r="AD154" s="181"/>
      <c r="AE154" s="181"/>
    </row>
    <row r="155" s="90" customFormat="1" ht="13" customHeight="1">
      <c r="A155" s="133"/>
      <c r="B155" s="171"/>
      <c r="C155" s="132"/>
      <c r="D155" s="132"/>
      <c r="E155" s="132"/>
      <c r="F155" s="133"/>
      <c r="G155" s="132"/>
      <c r="H155" s="134"/>
      <c r="I155" s="176"/>
      <c r="J155" s="177"/>
      <c r="K155" s="177"/>
      <c r="L155" s="178"/>
      <c r="M155" s="177"/>
      <c r="N155" s="149"/>
      <c r="O155" s="155"/>
      <c r="P155" s="148"/>
      <c r="Q155" s="149"/>
      <c r="R155" s="149"/>
      <c r="S155" s="149"/>
      <c r="T155" s="149"/>
      <c r="U155" s="149"/>
      <c r="V155" s="141"/>
      <c r="W155" s="142"/>
      <c r="X155" s="179"/>
      <c r="Y155" s="180"/>
      <c r="Z155" s="181"/>
      <c r="AA155" s="181"/>
      <c r="AB155" s="181"/>
      <c r="AC155" s="181"/>
      <c r="AD155" s="181"/>
      <c r="AE155" s="181"/>
    </row>
    <row r="156" s="90" customFormat="1" ht="13" customHeight="1">
      <c r="A156" s="133"/>
      <c r="B156" s="171"/>
      <c r="C156" s="132"/>
      <c r="D156" s="132"/>
      <c r="E156" s="132"/>
      <c r="F156" s="133"/>
      <c r="G156" s="132"/>
      <c r="H156" s="134"/>
      <c r="I156" s="176"/>
      <c r="J156" s="177"/>
      <c r="K156" s="177"/>
      <c r="L156" s="178"/>
      <c r="M156" s="177"/>
      <c r="N156" s="149"/>
      <c r="O156" s="155"/>
      <c r="P156" s="148"/>
      <c r="Q156" s="149"/>
      <c r="R156" s="149"/>
      <c r="S156" s="149"/>
      <c r="T156" s="149"/>
      <c r="U156" s="149"/>
      <c r="V156" s="141"/>
      <c r="W156" s="142"/>
      <c r="X156" s="179"/>
      <c r="Y156" s="180"/>
      <c r="Z156" s="181"/>
      <c r="AA156" s="181"/>
      <c r="AB156" s="181"/>
      <c r="AC156" s="181"/>
      <c r="AD156" s="181"/>
      <c r="AE156" s="181"/>
    </row>
    <row r="157" s="90" customFormat="1" ht="13" customHeight="1">
      <c r="A157" s="133"/>
      <c r="B157" s="171"/>
      <c r="C157" s="132"/>
      <c r="D157" s="132"/>
      <c r="E157" s="132"/>
      <c r="F157" s="133"/>
      <c r="G157" s="132"/>
      <c r="H157" s="134"/>
      <c r="I157" s="176"/>
      <c r="J157" s="177"/>
      <c r="K157" s="177"/>
      <c r="L157" s="178"/>
      <c r="M157" s="177"/>
      <c r="N157" s="149"/>
      <c r="O157" s="155"/>
      <c r="P157" s="148"/>
      <c r="Q157" s="149"/>
      <c r="R157" s="149"/>
      <c r="S157" s="149"/>
      <c r="T157" s="149"/>
      <c r="U157" s="149"/>
      <c r="V157" s="141"/>
      <c r="W157" s="142"/>
      <c r="X157" s="179"/>
      <c r="Y157" s="180"/>
      <c r="Z157" s="181"/>
      <c r="AA157" s="181"/>
      <c r="AB157" s="181"/>
      <c r="AC157" s="181"/>
      <c r="AD157" s="181"/>
      <c r="AE157" s="181"/>
    </row>
    <row r="158" s="90" customFormat="1" ht="13" customHeight="1">
      <c r="A158" s="133"/>
      <c r="B158" s="171"/>
      <c r="C158" s="132"/>
      <c r="D158" s="132"/>
      <c r="E158" s="132"/>
      <c r="F158" s="133"/>
      <c r="G158" s="132"/>
      <c r="H158" s="134"/>
      <c r="I158" s="176"/>
      <c r="J158" s="177"/>
      <c r="K158" s="177"/>
      <c r="L158" s="178"/>
      <c r="M158" s="177"/>
      <c r="N158" s="149"/>
      <c r="O158" s="155"/>
      <c r="P158" s="148"/>
      <c r="Q158" s="149"/>
      <c r="R158" s="149"/>
      <c r="S158" s="149"/>
      <c r="T158" s="149"/>
      <c r="U158" s="149"/>
      <c r="V158" s="141"/>
      <c r="W158" s="142"/>
      <c r="X158" s="179"/>
      <c r="Y158" s="180"/>
      <c r="Z158" s="181"/>
      <c r="AA158" s="181"/>
      <c r="AB158" s="181"/>
      <c r="AC158" s="181"/>
      <c r="AD158" s="181"/>
      <c r="AE158" s="181"/>
    </row>
    <row r="159" s="90" customFormat="1" ht="13" customHeight="1">
      <c r="A159" s="133"/>
      <c r="B159" s="171"/>
      <c r="C159" s="132"/>
      <c r="D159" s="132"/>
      <c r="E159" s="132"/>
      <c r="F159" s="133"/>
      <c r="G159" s="132"/>
      <c r="H159" s="134"/>
      <c r="I159" s="176"/>
      <c r="J159" s="177"/>
      <c r="K159" s="177"/>
      <c r="L159" s="178"/>
      <c r="M159" s="177"/>
      <c r="N159" s="149"/>
      <c r="O159" s="155"/>
      <c r="P159" s="148"/>
      <c r="Q159" s="149"/>
      <c r="R159" s="149"/>
      <c r="S159" s="149"/>
      <c r="T159" s="149"/>
      <c r="U159" s="149"/>
      <c r="V159" s="141"/>
      <c r="W159" s="142"/>
      <c r="X159" s="179"/>
      <c r="Y159" s="180"/>
      <c r="Z159" s="181"/>
      <c r="AA159" s="181"/>
      <c r="AB159" s="181"/>
      <c r="AC159" s="181"/>
      <c r="AD159" s="181"/>
      <c r="AE159" s="181"/>
    </row>
    <row r="160" s="90" customFormat="1" ht="13" customHeight="1">
      <c r="A160" s="133"/>
      <c r="B160" s="171"/>
      <c r="C160" s="132"/>
      <c r="D160" s="132"/>
      <c r="E160" s="132"/>
      <c r="F160" s="133"/>
      <c r="G160" s="132"/>
      <c r="H160" s="134"/>
      <c r="I160" s="176"/>
      <c r="J160" s="177"/>
      <c r="K160" s="177"/>
      <c r="L160" s="178"/>
      <c r="M160" s="177"/>
      <c r="N160" s="149"/>
      <c r="O160" s="155"/>
      <c r="P160" s="148"/>
      <c r="Q160" s="149"/>
      <c r="R160" s="149"/>
      <c r="S160" s="149"/>
      <c r="T160" s="149"/>
      <c r="U160" s="149"/>
      <c r="V160" s="141"/>
      <c r="W160" s="142"/>
      <c r="X160" s="179"/>
      <c r="Y160" s="180"/>
      <c r="Z160" s="181"/>
      <c r="AA160" s="181"/>
      <c r="AB160" s="181"/>
      <c r="AC160" s="181"/>
      <c r="AD160" s="181"/>
      <c r="AE160" s="181"/>
    </row>
    <row r="161" s="90" customFormat="1" ht="13" customHeight="1">
      <c r="A161" s="133"/>
      <c r="B161" s="171"/>
      <c r="C161" s="132"/>
      <c r="D161" s="132"/>
      <c r="E161" s="132"/>
      <c r="F161" s="133"/>
      <c r="G161" s="132"/>
      <c r="H161" s="134"/>
      <c r="I161" s="176"/>
      <c r="J161" s="177"/>
      <c r="K161" s="177"/>
      <c r="L161" s="178"/>
      <c r="M161" s="177"/>
      <c r="N161" s="149"/>
      <c r="O161" s="155"/>
      <c r="P161" s="148"/>
      <c r="Q161" s="149"/>
      <c r="R161" s="149"/>
      <c r="S161" s="149"/>
      <c r="T161" s="149"/>
      <c r="U161" s="149"/>
      <c r="V161" s="141"/>
      <c r="W161" s="142"/>
      <c r="X161" s="179"/>
      <c r="Y161" s="180"/>
      <c r="Z161" s="181"/>
      <c r="AA161" s="181"/>
      <c r="AB161" s="181"/>
      <c r="AC161" s="181"/>
      <c r="AD161" s="181"/>
      <c r="AE161" s="181"/>
    </row>
    <row r="162" s="90" customFormat="1" ht="13" customHeight="1">
      <c r="A162" s="133"/>
      <c r="B162" s="171"/>
      <c r="C162" s="132"/>
      <c r="D162" s="132"/>
      <c r="E162" s="132"/>
      <c r="F162" s="133"/>
      <c r="G162" s="132"/>
      <c r="H162" s="134"/>
      <c r="I162" s="176"/>
      <c r="J162" s="177"/>
      <c r="K162" s="177"/>
      <c r="L162" s="178"/>
      <c r="M162" s="177"/>
      <c r="N162" s="149"/>
      <c r="O162" s="155"/>
      <c r="P162" s="148"/>
      <c r="Q162" s="149"/>
      <c r="R162" s="149"/>
      <c r="S162" s="149"/>
      <c r="T162" s="149"/>
      <c r="U162" s="149"/>
      <c r="V162" s="141"/>
      <c r="W162" s="142"/>
      <c r="X162" s="179"/>
      <c r="Y162" s="180"/>
      <c r="Z162" s="181"/>
      <c r="AA162" s="181"/>
      <c r="AB162" s="181"/>
      <c r="AC162" s="181"/>
      <c r="AD162" s="181"/>
      <c r="AE162" s="181"/>
    </row>
    <row r="163" s="90" customFormat="1" ht="13" customHeight="1">
      <c r="A163" s="133"/>
      <c r="B163" s="171"/>
      <c r="C163" s="132"/>
      <c r="D163" s="132"/>
      <c r="E163" s="132"/>
      <c r="F163" s="133"/>
      <c r="G163" s="132"/>
      <c r="H163" s="134"/>
      <c r="I163" s="176"/>
      <c r="J163" s="177"/>
      <c r="K163" s="177"/>
      <c r="L163" s="178"/>
      <c r="M163" s="177"/>
      <c r="N163" s="149"/>
      <c r="O163" s="155"/>
      <c r="P163" s="148"/>
      <c r="Q163" s="149"/>
      <c r="R163" s="149"/>
      <c r="S163" s="149"/>
      <c r="T163" s="149"/>
      <c r="U163" s="149"/>
      <c r="V163" s="141"/>
      <c r="W163" s="142"/>
      <c r="X163" s="179"/>
      <c r="Y163" s="180"/>
      <c r="Z163" s="181"/>
      <c r="AA163" s="181"/>
      <c r="AB163" s="181"/>
      <c r="AC163" s="181"/>
      <c r="AD163" s="181"/>
      <c r="AE163" s="181"/>
    </row>
    <row r="164" s="90" customFormat="1" ht="13" customHeight="1">
      <c r="A164" s="133"/>
      <c r="B164" s="171"/>
      <c r="C164" s="132"/>
      <c r="D164" s="132"/>
      <c r="E164" s="132"/>
      <c r="F164" s="133"/>
      <c r="G164" s="132"/>
      <c r="H164" s="134"/>
      <c r="I164" s="176"/>
      <c r="J164" s="177"/>
      <c r="K164" s="177"/>
      <c r="L164" s="178"/>
      <c r="M164" s="177"/>
      <c r="N164" s="149"/>
      <c r="O164" s="155"/>
      <c r="P164" s="148"/>
      <c r="Q164" s="149"/>
      <c r="R164" s="149"/>
      <c r="S164" s="149"/>
      <c r="T164" s="149"/>
      <c r="U164" s="149"/>
      <c r="V164" s="141"/>
      <c r="W164" s="142"/>
      <c r="X164" s="179"/>
      <c r="Y164" s="180"/>
      <c r="Z164" s="181"/>
      <c r="AA164" s="181"/>
      <c r="AB164" s="181"/>
      <c r="AC164" s="181"/>
      <c r="AD164" s="181"/>
      <c r="AE164" s="181"/>
    </row>
    <row r="165" s="90" customFormat="1" ht="13" customHeight="1">
      <c r="A165" s="133"/>
      <c r="B165" s="171"/>
      <c r="C165" s="132"/>
      <c r="D165" s="132"/>
      <c r="E165" s="132"/>
      <c r="F165" s="133"/>
      <c r="G165" s="132"/>
      <c r="H165" s="134"/>
      <c r="I165" s="176"/>
      <c r="J165" s="177"/>
      <c r="K165" s="177"/>
      <c r="L165" s="178"/>
      <c r="M165" s="177"/>
      <c r="N165" s="149"/>
      <c r="O165" s="155"/>
      <c r="P165" s="148"/>
      <c r="Q165" s="149"/>
      <c r="R165" s="149"/>
      <c r="S165" s="149"/>
      <c r="T165" s="149"/>
      <c r="U165" s="149"/>
      <c r="V165" s="141"/>
      <c r="W165" s="142"/>
      <c r="X165" s="179"/>
      <c r="Y165" s="180"/>
      <c r="Z165" s="181"/>
      <c r="AA165" s="181"/>
      <c r="AB165" s="181"/>
      <c r="AC165" s="181"/>
      <c r="AD165" s="181"/>
      <c r="AE165" s="181"/>
    </row>
    <row r="166" s="90" customFormat="1" ht="13.65" customHeight="1">
      <c r="A166" s="133"/>
      <c r="B166" s="171"/>
      <c r="C166" s="132"/>
      <c r="D166" s="132"/>
      <c r="E166" s="132"/>
      <c r="F166" s="133"/>
      <c r="G166" s="132"/>
      <c r="H166" s="134"/>
      <c r="I166" t="s" s="135">
        <f>IF(ISBLANK(C166),"",IF(L166="L","Baixa",IF(L166="A","Média",IF(L166="","","Alta"))))</f>
      </c>
      <c r="J166" t="s" s="136">
        <f>CONCATENATE(C166,L166)</f>
      </c>
      <c r="K166" t="s" s="136">
        <f>IF(ISBLANK(C166),"",IF(C166="ALI",IF(L166="L",7,IF(L166="A",10,15)),IF(C166="AIE",IF(L166="L",5,IF(L166="A",7,10)),IF(C166="SE",IF(L166="L",4,IF(L166="A",5,7)),IF(OR(C166="EE",C166="CE"),IF(L166="L",3,IF(L166="A",4,6)),0)))))</f>
      </c>
      <c r="L166" t="s" s="137">
        <f>IF(OR(ISBLANK(E166),ISBLANK(G166)),IF(OR(C166="ALI",C166="AIE"),"L",IF(OR(C166="EE",C166="SE",C166="CE"),"A","")),IF(C166="EE",IF(G166&gt;=3,IF(E166&gt;=5,"H","A"),IF(G166&gt;=2,IF(E166&gt;=16,"H",IF(E166&lt;=4,"L","A")),IF(E166&lt;=15,"L","A"))),IF(OR(C166="SE",C166="CE"),IF(G166&gt;=4,IF(E166&gt;=6,"H","A"),IF(G166&gt;=2,IF(E166&gt;=20,"H",IF(E166&lt;=5,"L","A")),IF(E166&lt;=19,"L","A"))),IF(OR(C166="ALI",C166="AIE"),IF(G166&gt;=6,IF(E166&gt;=20,"H","A"),IF(G166&gt;=2,IF(E166&gt;=51,"H",IF(E166&lt;=19,"L","A")),IF(E166&lt;=50,"L","A"))),""))))</f>
      </c>
      <c r="M166" t="s" s="136">
        <f>CONCATENATE(C166,D166)</f>
      </c>
      <c r="N166" t="s" s="136">
        <f>IF(OR(K166="",K166=0),O166,K166)</f>
      </c>
      <c r="O166" t="s" s="138">
        <f>_xlfn.IFERROR(IF(NOT(ISERROR(VLOOKUP(C166,'Deflatores Sisp'!G$42:H$70,2,FALSE))),VLOOKUP(C166,'Deflatores Sisp'!G$42:H$70,2,FALSE),IF(OR(ISBLANK(D166),ISBLANK(C166)),"",VLOOKUP(D166,'Deflatores Sisp'!G$4:H$38,2,FALSE)*K166+VLOOKUP(D166,'Deflatores Sisp'!G$4:I$38,3,FALSE)))*W166,"")</f>
      </c>
      <c r="P166" s="148"/>
      <c r="Q166" s="149"/>
      <c r="R166" s="149"/>
      <c r="S166" s="149"/>
      <c r="T166" s="149"/>
      <c r="U166" s="149"/>
      <c r="V166" s="141"/>
      <c r="W166" s="142"/>
      <c r="X166" s="143"/>
      <c r="Y166" s="144"/>
      <c r="Z166" s="182">
        <f>IF(P166="x",25%,0)</f>
        <v>0</v>
      </c>
      <c r="AA166" s="182">
        <f>IF(Q166="x",10%,0)</f>
        <v>0</v>
      </c>
      <c r="AB166" s="182">
        <f>IF(R166="x",40%,0)</f>
        <v>0</v>
      </c>
      <c r="AC166" s="182">
        <f>IF(S166="x",15%,0)</f>
        <v>0</v>
      </c>
      <c r="AD166" s="182">
        <f>IF(T166="x",5%,0)</f>
        <v>0</v>
      </c>
      <c r="AE166" s="182">
        <f>IF(U166="x",5%,0)</f>
        <v>0</v>
      </c>
    </row>
  </sheetData>
  <mergeCells count="8">
    <mergeCell ref="A1:Y3"/>
    <mergeCell ref="A6:I6"/>
    <mergeCell ref="X5:Y5"/>
    <mergeCell ref="X6:Y6"/>
    <mergeCell ref="X4:Y4"/>
    <mergeCell ref="P5:W6"/>
    <mergeCell ref="A4:B4"/>
    <mergeCell ref="A5:B5"/>
  </mergeCells>
  <dataValidations count="3">
    <dataValidation type="list" allowBlank="1" showInputMessage="1" showErrorMessage="1" sqref="C8:C9">
      <formula1>"AIE,ALI,EE,CE,SE"</formula1>
    </dataValidation>
    <dataValidation type="list" allowBlank="1" showInputMessage="1" showErrorMessage="1" sqref="D8:D9 D150:D166">
      <formula1>"I,A,E,A50,A75,A90,PMD,COR,COR50,COR75,COR90,GAR,MLP,MBO,MBM,ALP,AVB,ABD,COS,ARN,ARN50,ARN75,ADS,CPA,ADC,AGR,AER,ATD,MSL,VES,VEC,PFT,CIR,.,."</formula1>
    </dataValidation>
    <dataValidation type="list" allowBlank="1" showInputMessage="1" showErrorMessage="1" sqref="C150:C166">
      <formula1>"ALI,AIE,EE,CE,SE,PAG,COSNF,COSNFE,DCDI,DCDA,DCDE,DCFI,DCFA,DCFE,DATDI,DATDA,DATDE,DATEI,DATEA,DATEE,HARDC,PA,.,.,.,.,.,.,.,.,.,.,."</formula1>
    </dataValidation>
  </dataValidations>
  <pageMargins left="0.708333" right="0.708333" top="0.747917" bottom="0.748611" header="0.511806" footer="0.315278"/>
  <pageSetup firstPageNumber="1" fitToHeight="1" fitToWidth="1" scale="100" useFirstPageNumber="0" orientation="landscape" pageOrder="downThenOver"/>
  <headerFooter>
    <oddFooter>&amp;C&amp;"Arial,Regular"&amp;10&amp;K000000Página &amp;P de &amp;N</oddFooter>
  </headerFooter>
  <drawing r:id="rId1"/>
  <legacyDrawing r:id="rId2"/>
</worksheet>
</file>

<file path=xl/worksheets/sheet3.xml><?xml version="1.0" encoding="utf-8"?>
<worksheet xmlns:r="http://schemas.openxmlformats.org/officeDocument/2006/relationships" xmlns="http://schemas.openxmlformats.org/spreadsheetml/2006/main">
  <dimension ref="A1:O70"/>
  <sheetViews>
    <sheetView workbookViewId="0" showGridLines="0" defaultGridColor="1"/>
  </sheetViews>
  <sheetFormatPr defaultColWidth="11.5" defaultRowHeight="13" customHeight="1" outlineLevelRow="0" outlineLevelCol="0"/>
  <cols>
    <col min="1" max="1" width="17.5" style="183" customWidth="1"/>
    <col min="2" max="3" width="11.5" style="183" customWidth="1"/>
    <col min="4" max="4" width="10.6719" style="183" customWidth="1"/>
    <col min="5" max="5" width="23.3516" style="183" customWidth="1"/>
    <col min="6" max="6" width="53.3516" style="183" customWidth="1"/>
    <col min="7" max="7" width="7.67188" style="183" customWidth="1"/>
    <col min="8" max="8" width="13.3516" style="183" customWidth="1"/>
    <col min="9" max="9" width="9.85156" style="183" customWidth="1"/>
    <col min="10" max="10" width="10.5" style="183" customWidth="1"/>
    <col min="11" max="12" width="9.5" style="183" customWidth="1"/>
    <col min="13" max="14" hidden="1" width="11.5" style="183" customWidth="1"/>
    <col min="15" max="15" width="11.5" style="183" customWidth="1"/>
    <col min="16" max="16384" width="11.5" style="183" customWidth="1"/>
  </cols>
  <sheetData>
    <row r="1" ht="36.75" customHeight="1">
      <c r="A1" t="s" s="184">
        <v>140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6"/>
      <c r="M1" s="187"/>
      <c r="N1" s="4"/>
      <c r="O1" s="5"/>
    </row>
    <row r="2" ht="15" customHeight="1">
      <c r="A2" t="s" s="188">
        <v>141</v>
      </c>
      <c r="B2" s="189"/>
      <c r="C2" s="189"/>
      <c r="D2" s="189"/>
      <c r="E2" s="189"/>
      <c r="F2" s="190"/>
      <c r="G2" t="s" s="191">
        <v>142</v>
      </c>
      <c r="H2" t="s" s="191">
        <v>143</v>
      </c>
      <c r="I2" s="192"/>
      <c r="J2" t="s" s="191">
        <v>53</v>
      </c>
      <c r="K2" t="s" s="191">
        <v>144</v>
      </c>
      <c r="L2" t="s" s="193">
        <v>145</v>
      </c>
      <c r="M2" t="s" s="188">
        <v>146</v>
      </c>
      <c r="N2" s="194">
        <f>SUM(L4:L38)</f>
        <v>99.75</v>
      </c>
      <c r="O2" s="195"/>
    </row>
    <row r="3" ht="15" customHeight="1">
      <c r="A3" t="s" s="196">
        <v>147</v>
      </c>
      <c r="B3" t="s" s="191">
        <v>28</v>
      </c>
      <c r="C3" s="192"/>
      <c r="D3" s="192"/>
      <c r="E3" s="192"/>
      <c r="F3" t="s" s="191">
        <v>148</v>
      </c>
      <c r="G3" s="192"/>
      <c r="H3" t="s" s="191">
        <v>149</v>
      </c>
      <c r="I3" t="s" s="191">
        <v>150</v>
      </c>
      <c r="J3" s="192"/>
      <c r="K3" s="192"/>
      <c r="L3" s="197"/>
      <c r="M3" s="189"/>
      <c r="N3" s="198"/>
      <c r="O3" s="195"/>
    </row>
    <row r="4" ht="14" customHeight="1">
      <c r="A4" t="s" s="199">
        <v>151</v>
      </c>
      <c r="B4" t="s" s="200">
        <v>152</v>
      </c>
      <c r="C4" s="201"/>
      <c r="D4" s="201"/>
      <c r="E4" s="201"/>
      <c r="F4" s="201"/>
      <c r="G4" t="s" s="202">
        <v>73</v>
      </c>
      <c r="H4" s="203">
        <v>1</v>
      </c>
      <c r="I4" s="204"/>
      <c r="J4" s="205">
        <f>SUMIF('Funções'!$D$8:$D$110,G4,'Funções'!$K$8:$K$110)</f>
        <v>105</v>
      </c>
      <c r="K4" s="205">
        <f>IF(H4="",COUNTIF('Funções'!D$8:D$110,G4)*I4,H4*J4)</f>
        <v>105</v>
      </c>
      <c r="L4" s="205">
        <f>SUMIF('Funções'!$D$8:$D$110,G4,'Funções'!$O$8:$O$110)</f>
        <v>99.75</v>
      </c>
      <c r="M4" t="s" s="160">
        <v>153</v>
      </c>
      <c r="N4" s="38"/>
      <c r="O4" s="206"/>
    </row>
    <row r="5" ht="14" customHeight="1">
      <c r="A5" t="s" s="199">
        <v>151</v>
      </c>
      <c r="B5" t="s" s="200">
        <v>154</v>
      </c>
      <c r="C5" s="201"/>
      <c r="D5" s="201"/>
      <c r="E5" s="201"/>
      <c r="F5" t="s" s="200">
        <v>155</v>
      </c>
      <c r="G5" t="s" s="202">
        <v>105</v>
      </c>
      <c r="H5" s="203">
        <v>0.8</v>
      </c>
      <c r="I5" s="204"/>
      <c r="J5" s="205">
        <f>SUMIF('Funções'!$D$8:$D$110,G5,'Funções'!$K$8:$K$110)</f>
        <v>0</v>
      </c>
      <c r="K5" s="205">
        <f>IF(H5="",COUNTIF('Funções'!D$8:D$110,G5)*I5,H5*J5)</f>
        <v>0</v>
      </c>
      <c r="L5" s="205">
        <f>SUMIF('Funções'!$D$8:$D$110,G5,'Funções'!$O$8:$O$110)</f>
        <v>0</v>
      </c>
      <c r="M5" t="s" s="29">
        <v>156</v>
      </c>
      <c r="N5" s="38"/>
      <c r="O5" s="206"/>
    </row>
    <row r="6" ht="14" customHeight="1">
      <c r="A6" t="s" s="199">
        <v>151</v>
      </c>
      <c r="B6" t="s" s="200">
        <v>157</v>
      </c>
      <c r="C6" s="201"/>
      <c r="D6" s="201"/>
      <c r="E6" s="201"/>
      <c r="F6" t="s" s="200">
        <v>155</v>
      </c>
      <c r="G6" t="s" s="202">
        <v>158</v>
      </c>
      <c r="H6" s="203">
        <v>0.4</v>
      </c>
      <c r="I6" s="204"/>
      <c r="J6" s="205">
        <f>SUMIF('Funções'!$D$8:$D$110,G6,'Funções'!$K$8:$K$110)</f>
        <v>0</v>
      </c>
      <c r="K6" s="205">
        <f>IF(H6="",COUNTIF('Funções'!D$8:D$110,G6)*I6,H6*J6)</f>
        <v>0</v>
      </c>
      <c r="L6" s="205">
        <f>SUMIF('Funções'!$D$8:$D$110,G6,'Funções'!$O$8:$O$110)</f>
        <v>0</v>
      </c>
      <c r="M6" t="s" s="29">
        <v>159</v>
      </c>
      <c r="N6" s="38"/>
      <c r="O6" s="206"/>
    </row>
    <row r="7" ht="14" customHeight="1">
      <c r="A7" t="s" s="199">
        <v>151</v>
      </c>
      <c r="B7" t="s" s="200">
        <v>160</v>
      </c>
      <c r="C7" s="201"/>
      <c r="D7" s="201"/>
      <c r="E7" s="201"/>
      <c r="F7" t="s" s="200">
        <v>155</v>
      </c>
      <c r="G7" t="s" s="202">
        <v>161</v>
      </c>
      <c r="H7" s="203">
        <v>0.5</v>
      </c>
      <c r="I7" s="204"/>
      <c r="J7" s="205">
        <f>SUMIF('Funções'!$D$8:$D$110,G7,'Funções'!$K$8:$K$110)</f>
        <v>0</v>
      </c>
      <c r="K7" s="205">
        <f>IF(H7="",COUNTIF('Funções'!D$8:D$110,G7)*I7,H7*J7)</f>
        <v>0</v>
      </c>
      <c r="L7" s="205">
        <f>SUMIF('Funções'!$D$8:$D$110,G7,'Funções'!$O$8:$O$110)</f>
        <v>0</v>
      </c>
      <c r="M7" t="s" s="29">
        <v>156</v>
      </c>
      <c r="N7" s="38"/>
      <c r="O7" s="206"/>
    </row>
    <row r="8" ht="49.25" customHeight="1">
      <c r="A8" t="s" s="199">
        <v>151</v>
      </c>
      <c r="B8" t="s" s="207">
        <v>162</v>
      </c>
      <c r="C8" s="208"/>
      <c r="D8" s="208"/>
      <c r="E8" s="208"/>
      <c r="F8" t="s" s="200">
        <v>155</v>
      </c>
      <c r="G8" t="s" s="202">
        <v>163</v>
      </c>
      <c r="H8" s="203">
        <v>0.75</v>
      </c>
      <c r="I8" s="204"/>
      <c r="J8" s="205">
        <f>SUMIF('Funções'!$D$8:$D$110,G8,'Funções'!$K$8:$K$110)</f>
        <v>0</v>
      </c>
      <c r="K8" s="205">
        <f>IF(H8="",COUNTIF('Funções'!D$8:D$110,G8)*I8,H8*J8)</f>
        <v>0</v>
      </c>
      <c r="L8" s="205">
        <f>SUMIF('Funções'!$D$8:$D$110,G8,'Funções'!$O$8:$O$110)</f>
        <v>0</v>
      </c>
      <c r="M8" t="s" s="29">
        <v>156</v>
      </c>
      <c r="N8" s="38"/>
      <c r="O8" s="206"/>
    </row>
    <row r="9" ht="14" customHeight="1">
      <c r="A9" t="s" s="199">
        <v>151</v>
      </c>
      <c r="B9" t="s" s="200">
        <v>164</v>
      </c>
      <c r="C9" s="201"/>
      <c r="D9" s="201"/>
      <c r="E9" s="201"/>
      <c r="F9" t="s" s="200">
        <v>155</v>
      </c>
      <c r="G9" t="s" s="202">
        <v>165</v>
      </c>
      <c r="H9" s="203">
        <v>0.9</v>
      </c>
      <c r="I9" s="204"/>
      <c r="J9" s="205">
        <f>SUMIF('Funções'!$D$8:$D$110,G9,'Funções'!$K$8:$K$110)</f>
        <v>0</v>
      </c>
      <c r="K9" s="205">
        <f>IF(H9="",COUNTIF('Funções'!D$8:D$110,G9)*I9,H9*J9)</f>
        <v>0</v>
      </c>
      <c r="L9" s="205">
        <f>SUMIF('Funções'!$D$8:$D$110,G9,'Funções'!$O$8:$O$110)</f>
        <v>0</v>
      </c>
      <c r="M9" t="s" s="29">
        <v>156</v>
      </c>
      <c r="N9" s="38"/>
      <c r="O9" s="206"/>
    </row>
    <row r="10" ht="14" customHeight="1">
      <c r="A10" t="s" s="199">
        <v>151</v>
      </c>
      <c r="B10" t="s" s="200">
        <v>166</v>
      </c>
      <c r="C10" s="201"/>
      <c r="D10" s="201"/>
      <c r="E10" s="201"/>
      <c r="F10" t="s" s="200">
        <v>167</v>
      </c>
      <c r="G10" t="s" s="202">
        <v>168</v>
      </c>
      <c r="H10" s="203">
        <v>1</v>
      </c>
      <c r="I10" s="204"/>
      <c r="J10" s="205">
        <f>SUMIF('Funções'!$D$8:$D$110,G10,'Funções'!$K$8:$K$110)</f>
        <v>0</v>
      </c>
      <c r="K10" s="205">
        <f>IF(H10="",COUNTIF('Funções'!D$8:D$110,G10)*I10,H10*J10)</f>
        <v>0</v>
      </c>
      <c r="L10" s="205">
        <f>SUMIF('Funções'!$D$8:$D$110,G10,'Funções'!$O$8:$O$110)</f>
        <v>0</v>
      </c>
      <c r="M10" t="s" s="29">
        <v>153</v>
      </c>
      <c r="N10" s="38"/>
      <c r="O10" s="206"/>
    </row>
    <row r="11" ht="14" customHeight="1">
      <c r="A11" t="s" s="199">
        <v>151</v>
      </c>
      <c r="B11" t="s" s="200">
        <v>169</v>
      </c>
      <c r="C11" s="201"/>
      <c r="D11" s="201"/>
      <c r="E11" s="201"/>
      <c r="F11" t="s" s="200">
        <v>170</v>
      </c>
      <c r="G11" t="s" s="202">
        <v>171</v>
      </c>
      <c r="H11" s="203">
        <v>0.5</v>
      </c>
      <c r="I11" s="204"/>
      <c r="J11" s="205">
        <f>SUMIF('Funções'!$D$8:$D$110,G11,'Funções'!$K$8:$K$110)</f>
        <v>0</v>
      </c>
      <c r="K11" s="205">
        <f>IF(H11="",COUNTIF('Funções'!D$8:D$110,G11)*I11,H11*J11)</f>
        <v>0</v>
      </c>
      <c r="L11" s="205">
        <f>SUMIF('Funções'!$D$8:$D$110,G11,'Funções'!$O$8:$O$110)</f>
        <v>0</v>
      </c>
      <c r="M11" t="s" s="29">
        <v>172</v>
      </c>
      <c r="N11" s="38"/>
      <c r="O11" s="206"/>
    </row>
    <row r="12" ht="13.5" customHeight="1">
      <c r="A12" t="s" s="199">
        <v>151</v>
      </c>
      <c r="B12" t="s" s="200">
        <v>173</v>
      </c>
      <c r="C12" s="201"/>
      <c r="D12" s="201"/>
      <c r="E12" s="201"/>
      <c r="F12" t="s" s="200">
        <v>170</v>
      </c>
      <c r="G12" t="s" s="202">
        <v>174</v>
      </c>
      <c r="H12" s="203">
        <v>0.5</v>
      </c>
      <c r="I12" s="204"/>
      <c r="J12" s="205">
        <f>SUMIF('Funções'!$D$8:$D$110,G12,'Funções'!$K$8:$K$110)</f>
        <v>0</v>
      </c>
      <c r="K12" s="205">
        <f>IF(H12="",COUNTIF('Funções'!D$8:D$110,G12)*I12,H12*J12)</f>
        <v>0</v>
      </c>
      <c r="L12" s="205">
        <f>SUMIF('Funções'!$D$8:$D$110,G12,'Funções'!$O$8:$O$110)</f>
        <v>0</v>
      </c>
      <c r="M12" t="s" s="29">
        <v>172</v>
      </c>
      <c r="N12" s="38"/>
      <c r="O12" s="206"/>
    </row>
    <row r="13" ht="13.5" customHeight="1">
      <c r="A13" t="s" s="199">
        <v>151</v>
      </c>
      <c r="B13" t="s" s="200">
        <v>175</v>
      </c>
      <c r="C13" s="201"/>
      <c r="D13" s="201"/>
      <c r="E13" s="201"/>
      <c r="F13" t="s" s="200">
        <v>170</v>
      </c>
      <c r="G13" t="s" s="202">
        <v>176</v>
      </c>
      <c r="H13" s="203">
        <v>0.75</v>
      </c>
      <c r="I13" s="204"/>
      <c r="J13" s="205">
        <f>SUMIF('Funções'!$D$8:$D$110,G13,'Funções'!$K$8:$K$110)</f>
        <v>0</v>
      </c>
      <c r="K13" s="205">
        <f>IF(H13="",COUNTIF('Funções'!D$8:D$110,G13)*I13,H13*J13)</f>
        <v>0</v>
      </c>
      <c r="L13" s="205">
        <f>SUMIF('Funções'!$D$8:$D$110,G13,'Funções'!$O$8:$O$110)</f>
        <v>0</v>
      </c>
      <c r="M13" t="s" s="29">
        <v>172</v>
      </c>
      <c r="N13" s="38"/>
      <c r="O13" s="206"/>
    </row>
    <row r="14" ht="13.5" customHeight="1">
      <c r="A14" t="s" s="199">
        <v>151</v>
      </c>
      <c r="B14" t="s" s="200">
        <v>177</v>
      </c>
      <c r="C14" s="201"/>
      <c r="D14" s="201"/>
      <c r="E14" s="201"/>
      <c r="F14" t="s" s="200">
        <v>170</v>
      </c>
      <c r="G14" t="s" s="202">
        <v>178</v>
      </c>
      <c r="H14" s="203">
        <v>0.9</v>
      </c>
      <c r="I14" s="204"/>
      <c r="J14" s="205">
        <f>SUMIF('Funções'!$D$8:$D$110,G14,'Funções'!$K$8:$K$110)</f>
        <v>0</v>
      </c>
      <c r="K14" s="205">
        <f>IF(H14="",COUNTIF('Funções'!D$8:D$110,G14)*I14,H14*J14)</f>
        <v>0</v>
      </c>
      <c r="L14" s="205">
        <f>SUMIF('Funções'!$D$8:$D$110,G14,'Funções'!$O$8:$O$110)</f>
        <v>0</v>
      </c>
      <c r="M14" t="s" s="29">
        <v>172</v>
      </c>
      <c r="N14" s="38"/>
      <c r="O14" s="206"/>
    </row>
    <row r="15" ht="13.5" customHeight="1">
      <c r="A15" t="s" s="199">
        <v>151</v>
      </c>
      <c r="B15" t="s" s="200">
        <v>179</v>
      </c>
      <c r="C15" s="201"/>
      <c r="D15" s="201"/>
      <c r="E15" s="201"/>
      <c r="F15" t="s" s="200">
        <v>170</v>
      </c>
      <c r="G15" t="s" s="202">
        <v>180</v>
      </c>
      <c r="H15" s="203">
        <v>0</v>
      </c>
      <c r="I15" s="204"/>
      <c r="J15" s="205">
        <f>SUMIF('Funções'!$D$8:$D$110,G15,'Funções'!$K$8:$K$110)</f>
        <v>0</v>
      </c>
      <c r="K15" s="205">
        <f>IF(H15="",COUNTIF('Funções'!D$8:D$110,G15)*I15,H15*J15)</f>
        <v>0</v>
      </c>
      <c r="L15" s="205">
        <f>SUMIF('Funções'!$D$8:$D$110,G15,'Funções'!$O$8:$O$110)</f>
        <v>0</v>
      </c>
      <c r="M15" s="38"/>
      <c r="N15" s="38"/>
      <c r="O15" s="206"/>
    </row>
    <row r="16" ht="13.5" customHeight="1">
      <c r="A16" t="s" s="199">
        <v>151</v>
      </c>
      <c r="B16" t="s" s="200">
        <v>181</v>
      </c>
      <c r="C16" s="201"/>
      <c r="D16" s="201"/>
      <c r="E16" s="201"/>
      <c r="F16" t="s" s="200">
        <v>182</v>
      </c>
      <c r="G16" t="s" s="202">
        <v>183</v>
      </c>
      <c r="H16" s="203">
        <v>1</v>
      </c>
      <c r="I16" s="204"/>
      <c r="J16" s="205">
        <f>SUMIF('Funções'!$D$8:$D$110,G16,'Funções'!$K$8:$K$110)</f>
        <v>0</v>
      </c>
      <c r="K16" s="205">
        <f>IF(H16="",COUNTIF('Funções'!D$8:D$110,G16)*I16,H16*J16)</f>
        <v>0</v>
      </c>
      <c r="L16" s="205">
        <f>SUMIF('Funções'!$D$8:$D$110,G16,'Funções'!$O$8:$O$110)</f>
        <v>0</v>
      </c>
      <c r="M16" t="s" s="29">
        <v>184</v>
      </c>
      <c r="N16" s="38"/>
      <c r="O16" s="206"/>
    </row>
    <row r="17" ht="14" customHeight="1">
      <c r="A17" t="s" s="199">
        <v>151</v>
      </c>
      <c r="B17" t="s" s="200">
        <v>185</v>
      </c>
      <c r="C17" s="201"/>
      <c r="D17" s="201"/>
      <c r="E17" s="201"/>
      <c r="F17" t="s" s="200">
        <v>186</v>
      </c>
      <c r="G17" t="s" s="202">
        <v>187</v>
      </c>
      <c r="H17" s="203">
        <v>1</v>
      </c>
      <c r="I17" s="204"/>
      <c r="J17" s="205">
        <f>SUMIF('Funções'!$D$8:$D$110,G17,'Funções'!$K$8:$K$110)</f>
        <v>0</v>
      </c>
      <c r="K17" s="205">
        <f>IF(H17="",COUNTIF('Funções'!D$8:D$110,G17)*I17,H17*J17)</f>
        <v>0</v>
      </c>
      <c r="L17" s="205">
        <f>SUMIF('Funções'!$D$8:$D$110,G17,'Funções'!$O$8:$O$110)</f>
        <v>0</v>
      </c>
      <c r="M17" t="s" s="29">
        <v>184</v>
      </c>
      <c r="N17" s="38"/>
      <c r="O17" s="206"/>
    </row>
    <row r="18" ht="13.5" customHeight="1">
      <c r="A18" t="s" s="199">
        <v>151</v>
      </c>
      <c r="B18" t="s" s="200">
        <v>188</v>
      </c>
      <c r="C18" s="201"/>
      <c r="D18" s="201"/>
      <c r="E18" s="201"/>
      <c r="F18" t="s" s="200">
        <v>186</v>
      </c>
      <c r="G18" t="s" s="202">
        <v>189</v>
      </c>
      <c r="H18" s="203">
        <v>0.3</v>
      </c>
      <c r="I18" s="204"/>
      <c r="J18" s="205">
        <f>SUMIF('Funções'!$D$8:$D$110,G18,'Funções'!$K$8:$K$110)</f>
        <v>0</v>
      </c>
      <c r="K18" s="205">
        <f>IF(H18="",COUNTIF('Funções'!D$8:D$110,G18)*I18,H18*J18)</f>
        <v>0</v>
      </c>
      <c r="L18" s="205">
        <f>SUMIF('Funções'!$D$8:$D$110,G18,'Funções'!$O$8:$O$110)</f>
        <v>0</v>
      </c>
      <c r="M18" t="s" s="29">
        <v>184</v>
      </c>
      <c r="N18" s="38"/>
      <c r="O18" s="206"/>
    </row>
    <row r="19" ht="13.5" customHeight="1">
      <c r="A19" t="s" s="199">
        <v>151</v>
      </c>
      <c r="B19" t="s" s="200">
        <v>190</v>
      </c>
      <c r="C19" s="201"/>
      <c r="D19" s="201"/>
      <c r="E19" s="201"/>
      <c r="F19" t="s" s="200">
        <v>191</v>
      </c>
      <c r="G19" t="s" s="202">
        <v>192</v>
      </c>
      <c r="H19" s="203">
        <v>0.3</v>
      </c>
      <c r="I19" s="204"/>
      <c r="J19" s="205">
        <f>SUMIF('Funções'!$D$8:$D$110,G19,'Funções'!$K$8:$K$110)</f>
        <v>0</v>
      </c>
      <c r="K19" s="205">
        <f>IF(H19="",COUNTIF('Funções'!D$8:D$110,G19)*I19,H19*J19)</f>
        <v>0</v>
      </c>
      <c r="L19" s="205">
        <f>SUMIF('Funções'!$D$8:$D$110,G19,'Funções'!$O$8:$O$110)</f>
        <v>0</v>
      </c>
      <c r="M19" t="s" s="29">
        <v>184</v>
      </c>
      <c r="N19" s="38"/>
      <c r="O19" s="206"/>
    </row>
    <row r="20" ht="13.5" customHeight="1">
      <c r="A20" t="s" s="199">
        <v>151</v>
      </c>
      <c r="B20" t="s" s="200">
        <v>193</v>
      </c>
      <c r="C20" s="201"/>
      <c r="D20" s="201"/>
      <c r="E20" s="201"/>
      <c r="F20" t="s" s="200">
        <v>194</v>
      </c>
      <c r="G20" t="s" s="202">
        <v>195</v>
      </c>
      <c r="H20" s="203">
        <v>0.3</v>
      </c>
      <c r="I20" s="204"/>
      <c r="J20" s="205">
        <f>SUMIF('Funções'!$D$8:$D$110,G20,'Funções'!$K$8:$K$110)</f>
        <v>0</v>
      </c>
      <c r="K20" s="205">
        <f>IF(H20="",COUNTIF('Funções'!D$8:D$110,G20)*I20,H20*J20)</f>
        <v>0</v>
      </c>
      <c r="L20" s="205">
        <f>SUMIF('Funções'!$D$8:$D$110,G20,'Funções'!$O$8:$O$110)</f>
        <v>0</v>
      </c>
      <c r="M20" t="s" s="29">
        <v>184</v>
      </c>
      <c r="N20" s="38"/>
      <c r="O20" s="206"/>
    </row>
    <row r="21" ht="13.5" customHeight="1">
      <c r="A21" t="s" s="199">
        <v>151</v>
      </c>
      <c r="B21" t="s" s="200">
        <v>196</v>
      </c>
      <c r="C21" s="201"/>
      <c r="D21" s="201"/>
      <c r="E21" s="201"/>
      <c r="F21" t="s" s="200">
        <v>197</v>
      </c>
      <c r="G21" t="s" s="202">
        <v>198</v>
      </c>
      <c r="H21" s="203">
        <v>0.3</v>
      </c>
      <c r="I21" s="204"/>
      <c r="J21" s="205">
        <f>SUMIF('Funções'!$D$8:$D$110,G21,'Funções'!$K$8:$K$110)</f>
        <v>0</v>
      </c>
      <c r="K21" s="205">
        <f>IF(H21="",COUNTIF('Funções'!D$8:D$110,G21)*I21,H21*J21)</f>
        <v>0</v>
      </c>
      <c r="L21" s="205">
        <f>SUMIF('Funções'!$D$8:$D$110,G21,'Funções'!$O$8:$O$110)</f>
        <v>0</v>
      </c>
      <c r="M21" t="s" s="29">
        <v>184</v>
      </c>
      <c r="N21" s="38"/>
      <c r="O21" s="206"/>
    </row>
    <row r="22" ht="14" customHeight="1">
      <c r="A22" t="s" s="199">
        <v>151</v>
      </c>
      <c r="B22" t="s" s="200">
        <v>199</v>
      </c>
      <c r="C22" s="201"/>
      <c r="D22" s="201"/>
      <c r="E22" s="201"/>
      <c r="F22" t="s" s="200">
        <v>200</v>
      </c>
      <c r="G22" t="s" s="202">
        <v>201</v>
      </c>
      <c r="H22" s="203"/>
      <c r="I22" s="204">
        <v>0.6</v>
      </c>
      <c r="J22" s="205">
        <f>SUMIF('Funções'!$D$8:$D$110,G22,'Funções'!$K$8:$K$110)</f>
        <v>0</v>
      </c>
      <c r="K22" s="205">
        <f>IF(H22="",COUNTIF('Funções'!D$8:D$110,G22)*I22,H22*J22)</f>
        <v>0</v>
      </c>
      <c r="L22" s="205">
        <f>SUMIF('Funções'!$D$8:$D$110,G22,'Funções'!$O$8:$O$110)</f>
        <v>0</v>
      </c>
      <c r="M22" t="s" s="29">
        <v>184</v>
      </c>
      <c r="N22" s="38"/>
      <c r="O22" s="206"/>
    </row>
    <row r="23" ht="27" customHeight="1">
      <c r="A23" t="s" s="199">
        <v>151</v>
      </c>
      <c r="B23" t="s" s="209">
        <v>202</v>
      </c>
      <c r="C23" s="210"/>
      <c r="D23" s="210"/>
      <c r="E23" s="211"/>
      <c r="F23" t="s" s="207">
        <v>203</v>
      </c>
      <c r="G23" t="s" s="202">
        <v>204</v>
      </c>
      <c r="H23" s="203">
        <v>0.5</v>
      </c>
      <c r="I23" s="204"/>
      <c r="J23" s="205">
        <f>SUMIF('Funções'!$D$8:$D$110,G23,'Funções'!$K$8:$K$110)</f>
        <v>0</v>
      </c>
      <c r="K23" s="205">
        <f>IF(H23="",COUNTIF('Funções'!D$8:D$110,G23)*I23,H23*J23)</f>
        <v>0</v>
      </c>
      <c r="L23" s="205">
        <f>SUMIF('Funções'!$D$8:$D$110,G23,'Funções'!$O$8:$O$110)</f>
        <v>0</v>
      </c>
      <c r="M23" t="s" s="29">
        <v>184</v>
      </c>
      <c r="N23" s="38"/>
      <c r="O23" s="206"/>
    </row>
    <row r="24" ht="27" customHeight="1">
      <c r="A24" t="s" s="199">
        <v>151</v>
      </c>
      <c r="B24" t="s" s="209">
        <v>205</v>
      </c>
      <c r="C24" s="210"/>
      <c r="D24" s="210"/>
      <c r="E24" s="211"/>
      <c r="F24" t="s" s="207">
        <v>203</v>
      </c>
      <c r="G24" t="s" s="202">
        <v>206</v>
      </c>
      <c r="H24" s="203">
        <v>0.5</v>
      </c>
      <c r="I24" s="204"/>
      <c r="J24" s="205">
        <f>SUMIF('Funções'!$D$8:$D$110,G24,'Funções'!$K$8:$K$110)</f>
        <v>0</v>
      </c>
      <c r="K24" s="205">
        <f>IF(H24="",COUNTIF('Funções'!D$8:D$110,G24)*I24,H24*J24)</f>
        <v>0</v>
      </c>
      <c r="L24" s="205">
        <f>SUMIF('Funções'!$D$8:$D$110,G24,'Funções'!$O$8:$O$110)</f>
        <v>0</v>
      </c>
      <c r="M24" t="s" s="29">
        <v>184</v>
      </c>
      <c r="N24" s="38"/>
      <c r="O24" s="206"/>
    </row>
    <row r="25" ht="27" customHeight="1">
      <c r="A25" t="s" s="199">
        <v>151</v>
      </c>
      <c r="B25" t="s" s="207">
        <v>207</v>
      </c>
      <c r="C25" s="208"/>
      <c r="D25" s="208"/>
      <c r="E25" s="208"/>
      <c r="F25" t="s" s="207">
        <v>203</v>
      </c>
      <c r="G25" t="s" s="202">
        <v>208</v>
      </c>
      <c r="H25" s="203">
        <v>0.75</v>
      </c>
      <c r="I25" s="204"/>
      <c r="J25" s="205">
        <f>SUMIF('Funções'!$D$8:$D$110,G25,'Funções'!$K$8:$K$110)</f>
        <v>0</v>
      </c>
      <c r="K25" s="205">
        <f>IF(H25="",COUNTIF('Funções'!D$8:D$110,G25)*I25,H25*J25)</f>
        <v>0</v>
      </c>
      <c r="L25" s="205">
        <f>SUMIF('Funções'!$D$8:$D$110,G25,'Funções'!$O$8:$O$110)</f>
        <v>0</v>
      </c>
      <c r="M25" t="s" s="29">
        <v>184</v>
      </c>
      <c r="N25" s="38"/>
      <c r="O25" s="206"/>
    </row>
    <row r="26" ht="13.5" customHeight="1">
      <c r="A26" t="s" s="199">
        <v>151</v>
      </c>
      <c r="B26" t="s" s="200">
        <v>209</v>
      </c>
      <c r="C26" s="201"/>
      <c r="D26" s="201"/>
      <c r="E26" s="201"/>
      <c r="F26" t="s" s="200">
        <v>210</v>
      </c>
      <c r="G26" t="s" s="202">
        <v>211</v>
      </c>
      <c r="H26" s="203">
        <v>1</v>
      </c>
      <c r="I26" s="204"/>
      <c r="J26" s="205">
        <f>SUMIF('Funções'!$D$8:$D$110,G26,'Funções'!$K$8:$K$110)</f>
        <v>0</v>
      </c>
      <c r="K26" s="205">
        <f>IF(H26="",COUNTIF('Funções'!D$8:D$110,G26)*I26,H26*J26)</f>
        <v>0</v>
      </c>
      <c r="L26" s="205">
        <f>SUMIF('Funções'!$D$8:$D$110,G26,'Funções'!$O$8:$O$110)</f>
        <v>0</v>
      </c>
      <c r="M26" t="s" s="29">
        <v>172</v>
      </c>
      <c r="N26" s="38"/>
      <c r="O26" s="206"/>
    </row>
    <row r="27" ht="13.5" customHeight="1">
      <c r="A27" t="s" s="199">
        <v>151</v>
      </c>
      <c r="B27" t="s" s="200">
        <v>212</v>
      </c>
      <c r="C27" s="201"/>
      <c r="D27" s="201"/>
      <c r="E27" s="201"/>
      <c r="F27" t="s" s="200">
        <v>210</v>
      </c>
      <c r="G27" t="s" s="202">
        <v>213</v>
      </c>
      <c r="H27" s="203">
        <v>1</v>
      </c>
      <c r="I27" s="204"/>
      <c r="J27" s="205">
        <f>SUMIF('Funções'!$D$8:$D$110,G27,'Funções'!$K$8:$K$110)</f>
        <v>0</v>
      </c>
      <c r="K27" s="205">
        <f>IF(H27="",COUNTIF('Funções'!D$8:D$110,G27)*I27,H27*J27)</f>
        <v>0</v>
      </c>
      <c r="L27" s="205">
        <f>SUMIF('Funções'!$D$8:$D$110,G27,'Funções'!$O$8:$O$110)</f>
        <v>0</v>
      </c>
      <c r="M27" t="s" s="29">
        <v>172</v>
      </c>
      <c r="N27" s="38"/>
      <c r="O27" s="206"/>
    </row>
    <row r="28" ht="13.5" customHeight="1">
      <c r="A28" t="s" s="199">
        <v>151</v>
      </c>
      <c r="B28" t="s" s="200">
        <v>214</v>
      </c>
      <c r="C28" s="201"/>
      <c r="D28" s="201"/>
      <c r="E28" s="201"/>
      <c r="F28" t="s" s="200">
        <v>210</v>
      </c>
      <c r="G28" t="s" s="202">
        <v>215</v>
      </c>
      <c r="H28" s="203">
        <v>0.6</v>
      </c>
      <c r="I28" s="204"/>
      <c r="J28" s="205">
        <f>SUMIF('Funções'!$D$8:$D$110,G28,'Funções'!$K$8:$K$110)</f>
        <v>0</v>
      </c>
      <c r="K28" s="205">
        <f>IF(H28="",COUNTIF('Funções'!D$8:D$110,G28)*I28,H28*J28)</f>
        <v>0</v>
      </c>
      <c r="L28" s="205">
        <f>SUMIF('Funções'!$D$8:$D$110,G28,'Funções'!$O$8:$O$110)</f>
        <v>0</v>
      </c>
      <c r="M28" t="s" s="29">
        <v>172</v>
      </c>
      <c r="N28" s="38"/>
      <c r="O28" s="206"/>
    </row>
    <row r="29" ht="13.5" customHeight="1">
      <c r="A29" t="s" s="199">
        <v>151</v>
      </c>
      <c r="B29" t="s" s="200">
        <v>216</v>
      </c>
      <c r="C29" s="201"/>
      <c r="D29" s="201"/>
      <c r="E29" s="201"/>
      <c r="F29" t="s" s="200">
        <v>217</v>
      </c>
      <c r="G29" t="s" s="202">
        <v>218</v>
      </c>
      <c r="H29" s="203">
        <v>1</v>
      </c>
      <c r="I29" s="204"/>
      <c r="J29" s="205">
        <f>SUMIF('Funções'!$D$8:$D$110,G29,'Funções'!$K$8:$K$110)</f>
        <v>0</v>
      </c>
      <c r="K29" s="205">
        <f>IF(H29="",COUNTIF('Funções'!D$8:D$110,G29)*I29,H29*J29)</f>
        <v>0</v>
      </c>
      <c r="L29" s="205">
        <f>SUMIF('Funções'!$D$8:$D$110,G29,'Funções'!$O$8:$O$110)</f>
        <v>0</v>
      </c>
      <c r="M29" t="s" s="29">
        <v>172</v>
      </c>
      <c r="N29" s="38"/>
      <c r="O29" s="206"/>
    </row>
    <row r="30" ht="13.5" customHeight="1">
      <c r="A30" t="s" s="199">
        <v>151</v>
      </c>
      <c r="B30" t="s" s="200">
        <v>219</v>
      </c>
      <c r="C30" s="201"/>
      <c r="D30" s="201"/>
      <c r="E30" s="201"/>
      <c r="F30" t="s" s="200">
        <v>220</v>
      </c>
      <c r="G30" t="s" s="202">
        <v>221</v>
      </c>
      <c r="H30" s="203">
        <v>0.1</v>
      </c>
      <c r="I30" s="204"/>
      <c r="J30" s="205">
        <f>SUMIF('Funções'!$D$8:$D$110,G30,'Funções'!$K$8:$K$110)</f>
        <v>0</v>
      </c>
      <c r="K30" s="205">
        <f>IF(H30="",COUNTIF('Funções'!D$8:D$110,G30)*I30,H30*J30)</f>
        <v>0</v>
      </c>
      <c r="L30" s="205">
        <f>SUMIF('Funções'!$D$8:$D$110,G30,'Funções'!$O$8:$O$110)</f>
        <v>0</v>
      </c>
      <c r="M30" t="s" s="29">
        <v>172</v>
      </c>
      <c r="N30" s="38"/>
      <c r="O30" s="206"/>
    </row>
    <row r="31" ht="13.5" customHeight="1">
      <c r="A31" t="s" s="199">
        <v>151</v>
      </c>
      <c r="B31" t="s" s="200">
        <v>222</v>
      </c>
      <c r="C31" s="201"/>
      <c r="D31" s="201"/>
      <c r="E31" s="201"/>
      <c r="F31" t="s" s="200">
        <v>223</v>
      </c>
      <c r="G31" t="s" s="202">
        <v>224</v>
      </c>
      <c r="H31" s="203">
        <v>0.1</v>
      </c>
      <c r="I31" s="204"/>
      <c r="J31" s="205">
        <f>SUMIF('Funções'!$D$8:$D$110,G31,'Funções'!$K$8:$K$110)</f>
        <v>0</v>
      </c>
      <c r="K31" s="205">
        <f>IF(H31="",COUNTIF('Funções'!D$8:D$110,G31)*I31,H31*J31)</f>
        <v>0</v>
      </c>
      <c r="L31" s="205">
        <f>SUMIF('Funções'!$D$8:$D$110,G31,'Funções'!$O$8:$O$110)</f>
        <v>0</v>
      </c>
      <c r="M31" t="s" s="29">
        <v>172</v>
      </c>
      <c r="N31" s="38"/>
      <c r="O31" s="206"/>
    </row>
    <row r="32" ht="13.5" customHeight="1">
      <c r="A32" t="s" s="199">
        <v>151</v>
      </c>
      <c r="B32" t="s" s="212">
        <v>225</v>
      </c>
      <c r="C32" s="213"/>
      <c r="D32" s="213"/>
      <c r="E32" s="214"/>
      <c r="F32" t="s" s="200">
        <v>226</v>
      </c>
      <c r="G32" t="s" s="202">
        <v>227</v>
      </c>
      <c r="H32" s="203">
        <v>0.25</v>
      </c>
      <c r="I32" s="204"/>
      <c r="J32" s="205">
        <f>SUMIF('Funções'!$D$8:$D$110,G32,'Funções'!$K$8:$K$110)</f>
        <v>0</v>
      </c>
      <c r="K32" s="205">
        <f>IF(H32="",COUNTIF('Funções'!D$8:D$110,G32)*I32,H32*J32)</f>
        <v>0</v>
      </c>
      <c r="L32" s="205">
        <f>SUMIF('Funções'!$D$8:$D$110,G32,'Funções'!$O$8:$O$110)</f>
        <v>0</v>
      </c>
      <c r="M32" t="s" s="29">
        <v>172</v>
      </c>
      <c r="N32" s="38"/>
      <c r="O32" s="206"/>
    </row>
    <row r="33" ht="13.5" customHeight="1">
      <c r="A33" t="s" s="199">
        <v>151</v>
      </c>
      <c r="B33" t="s" s="212">
        <v>228</v>
      </c>
      <c r="C33" s="213"/>
      <c r="D33" s="213"/>
      <c r="E33" s="214"/>
      <c r="F33" t="s" s="200">
        <v>229</v>
      </c>
      <c r="G33" t="s" s="202">
        <v>230</v>
      </c>
      <c r="H33" s="203">
        <v>0.2</v>
      </c>
      <c r="I33" s="204"/>
      <c r="J33" s="205">
        <f>SUMIF('Funções'!$D$8:$D$110,G33,'Funções'!$K$8:$K$110)</f>
        <v>0</v>
      </c>
      <c r="K33" s="205">
        <f>IF(H33="",COUNTIF('Funções'!D$8:D$110,G33)*I33,H33*J33)</f>
        <v>0</v>
      </c>
      <c r="L33" s="205">
        <f>SUMIF('Funções'!$D$8:$D$110,G33,'Funções'!$O$8:$O$110)</f>
        <v>0</v>
      </c>
      <c r="M33" t="s" s="29">
        <v>172</v>
      </c>
      <c r="N33" s="38"/>
      <c r="O33" s="206"/>
    </row>
    <row r="34" ht="13.5" customHeight="1">
      <c r="A34" t="s" s="199">
        <v>151</v>
      </c>
      <c r="B34" t="s" s="212">
        <v>231</v>
      </c>
      <c r="C34" s="213"/>
      <c r="D34" s="213"/>
      <c r="E34" s="214"/>
      <c r="F34" t="s" s="200">
        <v>229</v>
      </c>
      <c r="G34" t="s" s="202">
        <v>232</v>
      </c>
      <c r="H34" s="203">
        <v>0.15</v>
      </c>
      <c r="I34" s="204"/>
      <c r="J34" s="205">
        <f>SUMIF('Funções'!$D$8:$D$110,G34,'Funções'!$K$8:$K$110)</f>
        <v>0</v>
      </c>
      <c r="K34" s="205">
        <f>IF(H34="",COUNTIF('Funções'!D$8:D$110,G34)*I34,H34*J34)</f>
        <v>0</v>
      </c>
      <c r="L34" s="205">
        <f>SUMIF('Funções'!$D$8:$D$110,G34,'Funções'!$O$8:$O$110)</f>
        <v>0</v>
      </c>
      <c r="M34" t="s" s="29">
        <v>172</v>
      </c>
      <c r="N34" s="38"/>
      <c r="O34" s="206"/>
    </row>
    <row r="35" ht="13.5" customHeight="1">
      <c r="A35" t="s" s="199">
        <v>151</v>
      </c>
      <c r="B35" t="s" s="212">
        <v>233</v>
      </c>
      <c r="C35" s="213"/>
      <c r="D35" s="213"/>
      <c r="E35" s="214"/>
      <c r="F35" t="s" s="200">
        <v>234</v>
      </c>
      <c r="G35" t="s" s="202">
        <v>235</v>
      </c>
      <c r="H35" s="203">
        <v>0.15</v>
      </c>
      <c r="I35" s="204"/>
      <c r="J35" s="205">
        <f>SUMIF('Funções'!$D$8:$D$110,G35,'Funções'!$K$8:$K$110)</f>
        <v>0</v>
      </c>
      <c r="K35" s="205">
        <f>IF(H35="",COUNTIF('Funções'!D$8:D$110,G35)*I35,H35*J35)</f>
        <v>0</v>
      </c>
      <c r="L35" s="205">
        <f>SUMIF('Funções'!$D$8:$D$110,G35,'Funções'!$O$8:$O$110)</f>
        <v>0</v>
      </c>
      <c r="M35" t="s" s="29">
        <v>172</v>
      </c>
      <c r="N35" s="38"/>
      <c r="O35" s="206"/>
    </row>
    <row r="36" ht="13.5" customHeight="1">
      <c r="A36" t="s" s="199">
        <v>151</v>
      </c>
      <c r="B36" t="s" s="212">
        <v>236</v>
      </c>
      <c r="C36" s="213"/>
      <c r="D36" s="213"/>
      <c r="E36" s="214"/>
      <c r="F36" t="s" s="200">
        <v>237</v>
      </c>
      <c r="G36" t="s" s="202">
        <v>238</v>
      </c>
      <c r="H36" s="203">
        <v>1</v>
      </c>
      <c r="I36" s="204"/>
      <c r="J36" s="205">
        <f>SUMIF('Funções'!$D$8:$D$110,G36,'Funções'!$K$8:$K$110)</f>
        <v>0</v>
      </c>
      <c r="K36" s="205">
        <f>IF(H36="",COUNTIF('Funções'!D$8:D$110,G36)*I36,H36*J36)</f>
        <v>0</v>
      </c>
      <c r="L36" s="205">
        <f>SUMIF('Funções'!$D$8:$D$110,G36,'Funções'!$O$8:$O$110)</f>
        <v>0</v>
      </c>
      <c r="M36" t="s" s="29">
        <v>153</v>
      </c>
      <c r="N36" s="38"/>
      <c r="O36" s="206"/>
    </row>
    <row r="37" ht="26" customHeight="1" hidden="1">
      <c r="A37" t="s" s="215">
        <v>239</v>
      </c>
      <c r="B37" t="s" s="216">
        <v>240</v>
      </c>
      <c r="C37" s="217"/>
      <c r="D37" s="217"/>
      <c r="E37" s="217"/>
      <c r="F37" t="s" s="218">
        <v>241</v>
      </c>
      <c r="G37" t="s" s="219">
        <v>242</v>
      </c>
      <c r="H37" s="220">
        <v>0.8</v>
      </c>
      <c r="I37" s="221"/>
      <c r="J37" s="222">
        <f>SUMIF('Funções'!$D$8:$D$110,G37,'Funções'!$K$8:$K$110)</f>
        <v>0</v>
      </c>
      <c r="K37" s="223">
        <f>IF(H37="",COUNTIF('Funções'!D$8:D$110,G37)*I37,H37*J37)</f>
        <v>0</v>
      </c>
      <c r="L37" s="224"/>
      <c r="M37" t="s" s="225">
        <v>243</v>
      </c>
      <c r="N37" s="12"/>
      <c r="O37" s="13"/>
    </row>
    <row r="38" ht="13.5" customHeight="1">
      <c r="A38" s="226"/>
      <c r="B38" s="201"/>
      <c r="C38" s="201"/>
      <c r="D38" s="201"/>
      <c r="E38" s="201"/>
      <c r="F38" s="201"/>
      <c r="G38" t="s" s="202">
        <v>242</v>
      </c>
      <c r="H38" s="203"/>
      <c r="I38" s="204"/>
      <c r="J38" s="227">
        <f>SUMIF('Funções'!$D$8:$D$110,G38,'Funções'!$K$8:$K$110)</f>
        <v>0</v>
      </c>
      <c r="K38" s="228">
        <f>IF(H38="",COUNTIF('Funções'!D$8:D$110,G38)*I38,H38*J38)</f>
        <v>0</v>
      </c>
      <c r="L38" s="229"/>
      <c r="M38" t="s" s="225">
        <v>100</v>
      </c>
      <c r="N38" s="12"/>
      <c r="O38" s="13"/>
    </row>
    <row r="39" ht="14" customHeight="1">
      <c r="A39" s="230"/>
      <c r="B39" s="213"/>
      <c r="C39" s="213"/>
      <c r="D39" s="213"/>
      <c r="E39" s="213"/>
      <c r="F39" s="213"/>
      <c r="G39" s="231"/>
      <c r="H39" s="232"/>
      <c r="I39" s="232"/>
      <c r="J39" s="233"/>
      <c r="K39" s="234"/>
      <c r="L39" s="235"/>
      <c r="M39" t="s" s="225">
        <v>91</v>
      </c>
      <c r="N39" s="12"/>
      <c r="O39" s="13"/>
    </row>
    <row r="40" ht="15" customHeight="1">
      <c r="A40" t="s" s="188">
        <v>140</v>
      </c>
      <c r="B40" s="189"/>
      <c r="C40" s="189"/>
      <c r="D40" s="189"/>
      <c r="E40" s="189"/>
      <c r="F40" s="190"/>
      <c r="G40" t="s" s="191">
        <v>142</v>
      </c>
      <c r="H40" t="s" s="191">
        <v>143</v>
      </c>
      <c r="I40" s="192"/>
      <c r="J40" t="s" s="191">
        <v>244</v>
      </c>
      <c r="K40" t="s" s="193">
        <v>144</v>
      </c>
      <c r="L40" s="236"/>
      <c r="M40" t="s" s="225">
        <v>72</v>
      </c>
      <c r="N40" s="12"/>
      <c r="O40" s="13"/>
    </row>
    <row r="41" ht="15" customHeight="1">
      <c r="A41" t="s" s="196">
        <v>147</v>
      </c>
      <c r="B41" t="s" s="191">
        <v>28</v>
      </c>
      <c r="C41" s="192"/>
      <c r="D41" s="192"/>
      <c r="E41" s="192"/>
      <c r="F41" t="s" s="191">
        <v>148</v>
      </c>
      <c r="G41" s="192"/>
      <c r="H41" s="192"/>
      <c r="I41" s="192"/>
      <c r="J41" s="192"/>
      <c r="K41" s="197"/>
      <c r="L41" s="236"/>
      <c r="M41" t="s" s="225">
        <v>85</v>
      </c>
      <c r="N41" s="12"/>
      <c r="O41" s="13"/>
    </row>
    <row r="42" ht="13.5" customHeight="1">
      <c r="A42" t="s" s="237">
        <v>151</v>
      </c>
      <c r="B42" t="s" s="200">
        <v>245</v>
      </c>
      <c r="C42" s="201"/>
      <c r="D42" s="201"/>
      <c r="E42" s="201"/>
      <c r="F42" t="s" s="200">
        <v>246</v>
      </c>
      <c r="G42" t="s" s="202">
        <v>247</v>
      </c>
      <c r="H42" s="238">
        <v>0.6</v>
      </c>
      <c r="I42" s="238"/>
      <c r="J42" s="239">
        <f>COUNTIF('Funções'!C$8:C$110,G42)</f>
        <v>0</v>
      </c>
      <c r="K42" s="240">
        <f>SUMIF('Funções'!C$8:C$110,$G42,'Funções'!N$8:N$110)</f>
        <v>0</v>
      </c>
      <c r="L42" s="241"/>
      <c r="M42" t="s" s="225">
        <f>""&amp;G42</f>
        <v>248</v>
      </c>
      <c r="N42" s="12"/>
      <c r="O42" s="13"/>
    </row>
    <row r="43" ht="38.5" customHeight="1">
      <c r="A43" t="s" s="242">
        <v>249</v>
      </c>
      <c r="B43" t="s" s="207">
        <v>250</v>
      </c>
      <c r="C43" s="208"/>
      <c r="D43" s="208"/>
      <c r="E43" s="208"/>
      <c r="F43" t="s" s="200">
        <v>251</v>
      </c>
      <c r="G43" t="s" s="202">
        <v>252</v>
      </c>
      <c r="H43" s="238">
        <v>0.6</v>
      </c>
      <c r="I43" s="238"/>
      <c r="J43" s="239">
        <f>COUNTIF('Funções'!C$8:C$110,G43)</f>
        <v>0</v>
      </c>
      <c r="K43" s="240">
        <f>SUMIF('Funções'!C$8:C$110,$G43,'Funções'!N$8:N$110)</f>
        <v>0</v>
      </c>
      <c r="L43" s="241"/>
      <c r="M43" t="s" s="225">
        <f>""&amp;G43</f>
        <v>253</v>
      </c>
      <c r="N43" s="12"/>
      <c r="O43" s="13"/>
    </row>
    <row r="44" ht="41" customHeight="1">
      <c r="A44" t="s" s="242">
        <v>249</v>
      </c>
      <c r="B44" t="s" s="243">
        <v>254</v>
      </c>
      <c r="C44" s="244"/>
      <c r="D44" s="244"/>
      <c r="E44" s="244"/>
      <c r="F44" t="s" s="245">
        <v>251</v>
      </c>
      <c r="G44" t="s" s="246">
        <v>255</v>
      </c>
      <c r="H44" s="247">
        <v>0.02</v>
      </c>
      <c r="I44" s="247"/>
      <c r="J44" s="248">
        <f>COUNTIF('Funções'!C$8:C$110,G44)</f>
        <v>0</v>
      </c>
      <c r="K44" s="249">
        <f>SUMIF('Funções'!C$8:C$110,$G44,'Funções'!N$8:N$110)</f>
        <v>0</v>
      </c>
      <c r="L44" s="241"/>
      <c r="M44" t="s" s="225">
        <f>""&amp;G44</f>
        <v>256</v>
      </c>
      <c r="N44" s="12"/>
      <c r="O44" s="13"/>
    </row>
    <row r="45" ht="13.5" customHeight="1">
      <c r="A45" t="s" s="250">
        <v>249</v>
      </c>
      <c r="B45" t="s" s="251">
        <v>257</v>
      </c>
      <c r="C45" s="252"/>
      <c r="D45" s="252"/>
      <c r="E45" s="252"/>
      <c r="F45" t="s" s="251">
        <v>251</v>
      </c>
      <c r="G45" t="s" s="253">
        <v>258</v>
      </c>
      <c r="H45" s="254">
        <v>1</v>
      </c>
      <c r="I45" s="254"/>
      <c r="J45" s="255">
        <f>COUNTIF('Funções'!C$8:C$110,G45)</f>
        <v>0</v>
      </c>
      <c r="K45" s="256">
        <f>SUMIF('Funções'!C$8:C$110,$G45,'Funções'!N$8:N$110)</f>
        <v>0</v>
      </c>
      <c r="L45" s="241"/>
      <c r="M45" t="s" s="225">
        <f>""&amp;G45</f>
        <v>259</v>
      </c>
      <c r="N45" s="12"/>
      <c r="O45" s="13"/>
    </row>
    <row r="46" ht="13.5" customHeight="1">
      <c r="A46" t="s" s="257">
        <v>249</v>
      </c>
      <c r="B46" t="s" s="200">
        <v>260</v>
      </c>
      <c r="C46" s="201"/>
      <c r="D46" s="201"/>
      <c r="E46" s="201"/>
      <c r="F46" t="s" s="200">
        <v>251</v>
      </c>
      <c r="G46" t="s" s="202">
        <v>261</v>
      </c>
      <c r="H46" s="238">
        <v>0.6</v>
      </c>
      <c r="I46" s="238"/>
      <c r="J46" s="239">
        <f>COUNTIF('Funções'!C$8:C$110,G46)</f>
        <v>0</v>
      </c>
      <c r="K46" s="240">
        <f>SUMIF('Funções'!C$8:C$110,$G46,'Funções'!N$8:N$110)</f>
        <v>0</v>
      </c>
      <c r="L46" s="241"/>
      <c r="M46" t="s" s="225">
        <f>""&amp;G46</f>
        <v>262</v>
      </c>
      <c r="N46" s="12"/>
      <c r="O46" s="13"/>
    </row>
    <row r="47" ht="13.5" customHeight="1">
      <c r="A47" t="s" s="257">
        <v>249</v>
      </c>
      <c r="B47" t="s" s="200">
        <v>263</v>
      </c>
      <c r="C47" s="201"/>
      <c r="D47" s="201"/>
      <c r="E47" s="201"/>
      <c r="F47" t="s" s="200">
        <v>251</v>
      </c>
      <c r="G47" t="s" s="202">
        <v>264</v>
      </c>
      <c r="H47" s="238">
        <v>0.4</v>
      </c>
      <c r="I47" s="238"/>
      <c r="J47" s="239">
        <f>COUNTIF('Funções'!C$8:C$110,G47)</f>
        <v>0</v>
      </c>
      <c r="K47" s="240">
        <f>SUMIF('Funções'!C$8:C$110,$G47,'Funções'!N$8:N$110)</f>
        <v>0</v>
      </c>
      <c r="L47" s="241"/>
      <c r="M47" t="s" s="225">
        <f>""&amp;G47</f>
        <v>265</v>
      </c>
      <c r="N47" s="12"/>
      <c r="O47" s="13"/>
    </row>
    <row r="48" ht="13.5" customHeight="1">
      <c r="A48" t="s" s="257">
        <v>249</v>
      </c>
      <c r="B48" t="s" s="200">
        <v>266</v>
      </c>
      <c r="C48" s="201"/>
      <c r="D48" s="201"/>
      <c r="E48" s="201"/>
      <c r="F48" t="s" s="200">
        <v>251</v>
      </c>
      <c r="G48" t="s" s="202">
        <v>267</v>
      </c>
      <c r="H48" s="238">
        <v>1.5</v>
      </c>
      <c r="I48" s="238"/>
      <c r="J48" s="239">
        <f>COUNTIF('Funções'!C$8:C$110,G48)</f>
        <v>0</v>
      </c>
      <c r="K48" s="240">
        <f>SUMIF('Funções'!C$8:C$110,$G48,'Funções'!N$8:N$110)</f>
        <v>0</v>
      </c>
      <c r="L48" s="241"/>
      <c r="M48" t="s" s="225">
        <f>""&amp;G48</f>
        <v>268</v>
      </c>
      <c r="N48" s="12"/>
      <c r="O48" s="13"/>
    </row>
    <row r="49" ht="13.5" customHeight="1">
      <c r="A49" t="s" s="257">
        <v>249</v>
      </c>
      <c r="B49" t="s" s="200">
        <v>269</v>
      </c>
      <c r="C49" s="201"/>
      <c r="D49" s="201"/>
      <c r="E49" s="201"/>
      <c r="F49" t="s" s="200">
        <v>251</v>
      </c>
      <c r="G49" t="s" s="202">
        <v>270</v>
      </c>
      <c r="H49" s="238">
        <v>1.05</v>
      </c>
      <c r="I49" s="238"/>
      <c r="J49" s="239">
        <f>COUNTIF('Funções'!C$8:C$110,G49)</f>
        <v>0</v>
      </c>
      <c r="K49" s="240">
        <f>SUMIF('Funções'!C$8:C$110,$G49,'Funções'!N$8:N$110)</f>
        <v>0</v>
      </c>
      <c r="L49" s="241"/>
      <c r="M49" t="s" s="225">
        <f>""&amp;G49</f>
        <v>271</v>
      </c>
      <c r="N49" s="12"/>
      <c r="O49" s="13"/>
    </row>
    <row r="50" ht="13.5" customHeight="1">
      <c r="A50" t="s" s="257">
        <v>249</v>
      </c>
      <c r="B50" t="s" s="200">
        <v>272</v>
      </c>
      <c r="C50" s="201"/>
      <c r="D50" s="201"/>
      <c r="E50" s="201"/>
      <c r="F50" t="s" s="200">
        <v>251</v>
      </c>
      <c r="G50" t="s" s="202">
        <v>273</v>
      </c>
      <c r="H50" s="238">
        <v>0.6</v>
      </c>
      <c r="I50" s="238"/>
      <c r="J50" s="239">
        <f>COUNTIF('Funções'!C$8:C$110,G50)</f>
        <v>0</v>
      </c>
      <c r="K50" s="240">
        <f>SUMIF('Funções'!C$8:C$110,$G50,'Funções'!N$8:N$110)</f>
        <v>0</v>
      </c>
      <c r="L50" s="241"/>
      <c r="M50" t="s" s="225">
        <f>""&amp;G50</f>
        <v>274</v>
      </c>
      <c r="N50" s="12"/>
      <c r="O50" s="13"/>
    </row>
    <row r="51" ht="13.5" customHeight="1">
      <c r="A51" t="s" s="257">
        <v>249</v>
      </c>
      <c r="B51" t="s" s="200">
        <v>275</v>
      </c>
      <c r="C51" s="201"/>
      <c r="D51" s="201"/>
      <c r="E51" s="201"/>
      <c r="F51" t="s" s="200">
        <v>251</v>
      </c>
      <c r="G51" t="s" s="202">
        <v>276</v>
      </c>
      <c r="H51" s="238">
        <v>4.9</v>
      </c>
      <c r="I51" s="238"/>
      <c r="J51" s="239">
        <f>COUNTIF('Funções'!C$8:C$110,G51)</f>
        <v>0</v>
      </c>
      <c r="K51" s="240">
        <f>SUMIF('Funções'!C$8:C$110,$G51,'Funções'!N$8:N$110)</f>
        <v>0</v>
      </c>
      <c r="L51" s="241"/>
      <c r="M51" t="s" s="225">
        <f>""&amp;G51</f>
        <v>277</v>
      </c>
      <c r="N51" s="12"/>
      <c r="O51" s="13"/>
    </row>
    <row r="52" ht="14" customHeight="1">
      <c r="A52" t="s" s="257">
        <v>249</v>
      </c>
      <c r="B52" t="s" s="200">
        <v>278</v>
      </c>
      <c r="C52" s="201"/>
      <c r="D52" s="201"/>
      <c r="E52" s="201"/>
      <c r="F52" t="s" s="200">
        <v>251</v>
      </c>
      <c r="G52" t="s" s="202">
        <v>279</v>
      </c>
      <c r="H52" s="238">
        <v>2.45</v>
      </c>
      <c r="I52" s="238"/>
      <c r="J52" s="239">
        <f>COUNTIF('Funções'!C$8:C$110,G52)</f>
        <v>0</v>
      </c>
      <c r="K52" s="240">
        <f>SUMIF('Funções'!C$8:C$110,$G52,'Funções'!N$8:N$110)</f>
        <v>0</v>
      </c>
      <c r="L52" s="241"/>
      <c r="M52" t="s" s="225">
        <f>""&amp;G52</f>
        <v>280</v>
      </c>
      <c r="N52" s="12"/>
      <c r="O52" s="13"/>
    </row>
    <row r="53" ht="14" customHeight="1">
      <c r="A53" t="s" s="257">
        <v>249</v>
      </c>
      <c r="B53" t="s" s="200">
        <v>281</v>
      </c>
      <c r="C53" s="201"/>
      <c r="D53" s="201"/>
      <c r="E53" s="201"/>
      <c r="F53" t="s" s="200">
        <v>251</v>
      </c>
      <c r="G53" t="s" s="202">
        <v>282</v>
      </c>
      <c r="H53" s="238">
        <v>1.23</v>
      </c>
      <c r="I53" s="238"/>
      <c r="J53" s="239">
        <f>COUNTIF('Funções'!C$8:C$110,G53)</f>
        <v>0</v>
      </c>
      <c r="K53" s="240">
        <f>SUMIF('Funções'!C$8:C$110,$G53,'Funções'!N$8:N$110)</f>
        <v>0</v>
      </c>
      <c r="L53" s="241"/>
      <c r="M53" t="s" s="225">
        <f>""&amp;G53</f>
        <v>283</v>
      </c>
      <c r="N53" s="12"/>
      <c r="O53" s="13"/>
    </row>
    <row r="54" ht="14" customHeight="1">
      <c r="A54" t="s" s="257">
        <v>249</v>
      </c>
      <c r="B54" t="s" s="200">
        <v>284</v>
      </c>
      <c r="C54" s="201"/>
      <c r="D54" s="201"/>
      <c r="E54" s="201"/>
      <c r="F54" t="s" s="200">
        <v>251</v>
      </c>
      <c r="G54" t="s" s="202">
        <v>285</v>
      </c>
      <c r="H54" s="238">
        <v>2.8</v>
      </c>
      <c r="I54" s="238"/>
      <c r="J54" s="239">
        <f>COUNTIF('Funções'!C$8:C$110,G54)</f>
        <v>0</v>
      </c>
      <c r="K54" s="240">
        <f>SUMIF('Funções'!C$8:C$110,$G54,'Funções'!N$8:N$110)</f>
        <v>0</v>
      </c>
      <c r="L54" s="241"/>
      <c r="M54" t="s" s="225">
        <f>""&amp;G54</f>
        <v>286</v>
      </c>
      <c r="N54" s="12"/>
      <c r="O54" s="13"/>
    </row>
    <row r="55" ht="14" customHeight="1">
      <c r="A55" t="s" s="257">
        <v>249</v>
      </c>
      <c r="B55" t="s" s="200">
        <v>287</v>
      </c>
      <c r="C55" s="201"/>
      <c r="D55" s="201"/>
      <c r="E55" s="201"/>
      <c r="F55" t="s" s="200">
        <v>251</v>
      </c>
      <c r="G55" t="s" s="202">
        <v>288</v>
      </c>
      <c r="H55" s="238">
        <v>1.4</v>
      </c>
      <c r="I55" s="238"/>
      <c r="J55" s="239">
        <f>COUNTIF('Funções'!C$8:C$110,G55)</f>
        <v>0</v>
      </c>
      <c r="K55" s="240">
        <f>SUMIF('Funções'!C$8:C$110,$G55,'Funções'!N$8:N$110)</f>
        <v>0</v>
      </c>
      <c r="L55" s="241"/>
      <c r="M55" t="s" s="225">
        <f>""&amp;G55</f>
        <v>289</v>
      </c>
      <c r="N55" s="12"/>
      <c r="O55" s="13"/>
    </row>
    <row r="56" ht="14" customHeight="1">
      <c r="A56" t="s" s="257">
        <v>249</v>
      </c>
      <c r="B56" t="s" s="245">
        <v>290</v>
      </c>
      <c r="C56" s="258"/>
      <c r="D56" s="258"/>
      <c r="E56" s="258"/>
      <c r="F56" t="s" s="200">
        <v>251</v>
      </c>
      <c r="G56" t="s" s="246">
        <v>291</v>
      </c>
      <c r="H56" s="247">
        <v>0.7</v>
      </c>
      <c r="I56" s="247"/>
      <c r="J56" s="248">
        <f>COUNTIF('Funções'!C$8:C$110,G56)</f>
        <v>0</v>
      </c>
      <c r="K56" s="249">
        <f>SUMIF('Funções'!C$8:C$110,$G56,'Funções'!N$8:N$110)</f>
        <v>0</v>
      </c>
      <c r="L56" s="241"/>
      <c r="M56" t="s" s="225">
        <f>""&amp;G56</f>
        <v>292</v>
      </c>
      <c r="N56" s="12"/>
      <c r="O56" s="13"/>
    </row>
    <row r="57" ht="14.5" customHeight="1">
      <c r="A57" t="s" s="257">
        <v>249</v>
      </c>
      <c r="B57" t="s" s="251">
        <v>293</v>
      </c>
      <c r="C57" s="252"/>
      <c r="D57" s="252"/>
      <c r="E57" s="252"/>
      <c r="F57" t="s" s="200">
        <v>251</v>
      </c>
      <c r="G57" t="s" s="253">
        <v>294</v>
      </c>
      <c r="H57" s="254">
        <v>0.04</v>
      </c>
      <c r="I57" s="254"/>
      <c r="J57" s="255">
        <f>COUNTIF('Funções'!C$8:C$110,G57)</f>
        <v>0</v>
      </c>
      <c r="K57" s="256">
        <f>SUMIF('Funções'!C$8:C$110,$G57,'Funções'!N$8:N$110)</f>
        <v>0</v>
      </c>
      <c r="L57" s="241"/>
      <c r="M57" t="s" s="225">
        <f>""&amp;G57</f>
        <v>295</v>
      </c>
      <c r="N57" s="12"/>
      <c r="O57" s="13"/>
    </row>
    <row r="58" ht="14" customHeight="1">
      <c r="A58" t="s" s="257">
        <v>249</v>
      </c>
      <c r="B58" t="s" s="200">
        <v>296</v>
      </c>
      <c r="C58" s="201"/>
      <c r="D58" s="201"/>
      <c r="E58" s="201"/>
      <c r="F58" t="s" s="200">
        <v>251</v>
      </c>
      <c r="G58" t="s" s="202">
        <v>297</v>
      </c>
      <c r="H58" s="238">
        <v>0.1</v>
      </c>
      <c r="I58" s="238"/>
      <c r="J58" s="239">
        <f>COUNTIF('Funções'!C$8:C$110,G58)</f>
        <v>0</v>
      </c>
      <c r="K58" s="240">
        <f>SUMIF('Funções'!C$8:C$110,$G58,'Funções'!N$8:N$110)</f>
        <v>0</v>
      </c>
      <c r="L58" s="241"/>
      <c r="M58" t="s" s="225">
        <f>""&amp;G58</f>
        <v>298</v>
      </c>
      <c r="N58" s="12"/>
      <c r="O58" s="13"/>
    </row>
    <row r="59" ht="14" customHeight="1">
      <c r="A59" s="259"/>
      <c r="B59" s="201"/>
      <c r="C59" s="201"/>
      <c r="D59" s="201"/>
      <c r="E59" s="201"/>
      <c r="F59" s="201"/>
      <c r="G59" t="s" s="202">
        <v>242</v>
      </c>
      <c r="H59" s="238"/>
      <c r="I59" s="238"/>
      <c r="J59" s="239">
        <f>COUNTIF('Funções'!C$8:C$110,G59)</f>
        <v>0</v>
      </c>
      <c r="K59" s="240">
        <f>SUMIF('Funções'!C$8:C$110,$G59,'Funções'!N$8:N$110)</f>
        <v>0</v>
      </c>
      <c r="L59" s="241"/>
      <c r="M59" t="s" s="225">
        <f>""&amp;G59</f>
        <v>299</v>
      </c>
      <c r="N59" s="12"/>
      <c r="O59" s="13"/>
    </row>
    <row r="60" ht="14" customHeight="1">
      <c r="A60" s="259"/>
      <c r="B60" s="201"/>
      <c r="C60" s="201"/>
      <c r="D60" s="201"/>
      <c r="E60" s="201"/>
      <c r="F60" s="201"/>
      <c r="G60" t="s" s="202">
        <v>242</v>
      </c>
      <c r="H60" s="238"/>
      <c r="I60" s="238"/>
      <c r="J60" s="239">
        <f>COUNTIF('Funções'!C$8:C$110,G60)</f>
        <v>0</v>
      </c>
      <c r="K60" s="240">
        <f>SUMIF('Funções'!C$8:C$110,$G60,'Funções'!N$8:N$110)</f>
        <v>0</v>
      </c>
      <c r="L60" s="241"/>
      <c r="M60" t="s" s="225">
        <f>""&amp;G60</f>
        <v>299</v>
      </c>
      <c r="N60" s="12"/>
      <c r="O60" s="13"/>
    </row>
    <row r="61" ht="14" customHeight="1">
      <c r="A61" s="259"/>
      <c r="B61" s="201"/>
      <c r="C61" s="201"/>
      <c r="D61" s="201"/>
      <c r="E61" s="201"/>
      <c r="F61" s="201"/>
      <c r="G61" t="s" s="202">
        <v>242</v>
      </c>
      <c r="H61" s="238"/>
      <c r="I61" s="238"/>
      <c r="J61" s="239">
        <f>COUNTIF('Funções'!C$8:C$110,G61)</f>
        <v>0</v>
      </c>
      <c r="K61" s="240">
        <f>SUMIF('Funções'!C$8:C$110,$G61,'Funções'!N$8:N$110)</f>
        <v>0</v>
      </c>
      <c r="L61" s="241"/>
      <c r="M61" t="s" s="225">
        <f>""&amp;G61</f>
        <v>299</v>
      </c>
      <c r="N61" s="12"/>
      <c r="O61" s="13"/>
    </row>
    <row r="62" ht="14" customHeight="1">
      <c r="A62" s="259"/>
      <c r="B62" s="201"/>
      <c r="C62" s="201"/>
      <c r="D62" s="201"/>
      <c r="E62" s="201"/>
      <c r="F62" s="201"/>
      <c r="G62" t="s" s="202">
        <v>242</v>
      </c>
      <c r="H62" s="238"/>
      <c r="I62" s="238"/>
      <c r="J62" s="239">
        <f>COUNTIF('Funções'!C$8:C$110,G62)</f>
        <v>0</v>
      </c>
      <c r="K62" s="240">
        <f>SUMIF('Funções'!C$8:C$110,$G62,'Funções'!N$8:N$110)</f>
        <v>0</v>
      </c>
      <c r="L62" s="241"/>
      <c r="M62" t="s" s="225">
        <f>""&amp;G62</f>
        <v>299</v>
      </c>
      <c r="N62" s="12"/>
      <c r="O62" s="13"/>
    </row>
    <row r="63" ht="14" customHeight="1">
      <c r="A63" s="259"/>
      <c r="B63" s="201"/>
      <c r="C63" s="201"/>
      <c r="D63" s="201"/>
      <c r="E63" s="201"/>
      <c r="F63" s="201"/>
      <c r="G63" t="s" s="202">
        <v>242</v>
      </c>
      <c r="H63" s="238"/>
      <c r="I63" s="238"/>
      <c r="J63" s="239">
        <f>COUNTIF('Funções'!C$8:C$110,G63)</f>
        <v>0</v>
      </c>
      <c r="K63" s="240">
        <f>SUMIF('Funções'!C$8:C$110,$G63,'Funções'!N$8:N$110)</f>
        <v>0</v>
      </c>
      <c r="L63" s="241"/>
      <c r="M63" t="s" s="225">
        <f>""&amp;G63</f>
        <v>299</v>
      </c>
      <c r="N63" s="12"/>
      <c r="O63" s="13"/>
    </row>
    <row r="64" ht="14" customHeight="1">
      <c r="A64" s="259"/>
      <c r="B64" s="201"/>
      <c r="C64" s="201"/>
      <c r="D64" s="201"/>
      <c r="E64" s="201"/>
      <c r="F64" s="201"/>
      <c r="G64" t="s" s="202">
        <v>242</v>
      </c>
      <c r="H64" s="238"/>
      <c r="I64" s="238"/>
      <c r="J64" s="239">
        <f>COUNTIF('Funções'!C$8:C$110,G64)</f>
        <v>0</v>
      </c>
      <c r="K64" s="240">
        <f>SUMIF('Funções'!C$8:C$110,$G64,'Funções'!N$8:N$110)</f>
        <v>0</v>
      </c>
      <c r="L64" s="241"/>
      <c r="M64" t="s" s="225">
        <f>""&amp;G64</f>
        <v>299</v>
      </c>
      <c r="N64" s="12"/>
      <c r="O64" s="13"/>
    </row>
    <row r="65" ht="14" customHeight="1">
      <c r="A65" s="259"/>
      <c r="B65" s="201"/>
      <c r="C65" s="201"/>
      <c r="D65" s="201"/>
      <c r="E65" s="201"/>
      <c r="F65" s="201"/>
      <c r="G65" t="s" s="202">
        <v>242</v>
      </c>
      <c r="H65" s="238"/>
      <c r="I65" s="238"/>
      <c r="J65" s="239">
        <f>COUNTIF('Funções'!C$8:C$110,G65)</f>
        <v>0</v>
      </c>
      <c r="K65" s="240">
        <f>SUMIF('Funções'!C$8:C$110,$G65,'Funções'!N$8:N$110)</f>
        <v>0</v>
      </c>
      <c r="L65" s="241"/>
      <c r="M65" t="s" s="225">
        <f>""&amp;G65</f>
        <v>299</v>
      </c>
      <c r="N65" s="12"/>
      <c r="O65" s="13"/>
    </row>
    <row r="66" ht="14" customHeight="1">
      <c r="A66" s="259"/>
      <c r="B66" s="201"/>
      <c r="C66" s="201"/>
      <c r="D66" s="201"/>
      <c r="E66" s="201"/>
      <c r="F66" s="201"/>
      <c r="G66" t="s" s="202">
        <v>242</v>
      </c>
      <c r="H66" s="238"/>
      <c r="I66" s="238"/>
      <c r="J66" s="239">
        <f>COUNTIF('Funções'!C$8:C$110,G66)</f>
        <v>0</v>
      </c>
      <c r="K66" s="240">
        <f>SUMIF('Funções'!C$8:C$110,$G66,'Funções'!N$8:N$110)</f>
        <v>0</v>
      </c>
      <c r="L66" s="241"/>
      <c r="M66" t="s" s="225">
        <f>""&amp;G66</f>
        <v>299</v>
      </c>
      <c r="N66" s="12"/>
      <c r="O66" s="13"/>
    </row>
    <row r="67" ht="14" customHeight="1">
      <c r="A67" s="259"/>
      <c r="B67" s="201"/>
      <c r="C67" s="201"/>
      <c r="D67" s="201"/>
      <c r="E67" s="201"/>
      <c r="F67" s="201"/>
      <c r="G67" t="s" s="202">
        <v>242</v>
      </c>
      <c r="H67" s="238"/>
      <c r="I67" s="238"/>
      <c r="J67" s="239">
        <f>COUNTIF('Funções'!C$8:C$110,G67)</f>
        <v>0</v>
      </c>
      <c r="K67" s="240">
        <f>SUMIF('Funções'!C$8:C$110,$G67,'Funções'!N$8:N$110)</f>
        <v>0</v>
      </c>
      <c r="L67" s="241"/>
      <c r="M67" t="s" s="225">
        <f>""&amp;G67</f>
        <v>299</v>
      </c>
      <c r="N67" s="12"/>
      <c r="O67" s="13"/>
    </row>
    <row r="68" ht="14" customHeight="1">
      <c r="A68" s="259"/>
      <c r="B68" s="201"/>
      <c r="C68" s="201"/>
      <c r="D68" s="201"/>
      <c r="E68" s="201"/>
      <c r="F68" s="201"/>
      <c r="G68" t="s" s="202">
        <v>242</v>
      </c>
      <c r="H68" s="238"/>
      <c r="I68" s="238"/>
      <c r="J68" s="239">
        <f>COUNTIF('Funções'!C$8:C$110,G68)</f>
        <v>0</v>
      </c>
      <c r="K68" s="240">
        <f>SUMIF('Funções'!C$8:C$110,$G68,'Funções'!N$8:N$110)</f>
        <v>0</v>
      </c>
      <c r="L68" s="241"/>
      <c r="M68" t="s" s="225">
        <f>""&amp;G68</f>
        <v>299</v>
      </c>
      <c r="N68" s="12"/>
      <c r="O68" s="13"/>
    </row>
    <row r="69" ht="14" customHeight="1">
      <c r="A69" s="259"/>
      <c r="B69" s="201"/>
      <c r="C69" s="201"/>
      <c r="D69" s="201"/>
      <c r="E69" s="201"/>
      <c r="F69" s="201"/>
      <c r="G69" t="s" s="202">
        <v>242</v>
      </c>
      <c r="H69" s="238"/>
      <c r="I69" s="238"/>
      <c r="J69" s="239">
        <f>COUNTIF('Funções'!C$8:C$110,G69)</f>
        <v>0</v>
      </c>
      <c r="K69" s="240">
        <f>SUMIF('Funções'!C$8:C$110,$G69,'Funções'!N$8:N$110)</f>
        <v>0</v>
      </c>
      <c r="L69" s="241"/>
      <c r="M69" t="s" s="225">
        <f>""&amp;G69</f>
        <v>299</v>
      </c>
      <c r="N69" s="12"/>
      <c r="O69" s="13"/>
    </row>
    <row r="70" ht="14.5" customHeight="1">
      <c r="A70" s="260"/>
      <c r="B70" s="258"/>
      <c r="C70" s="258"/>
      <c r="D70" s="258"/>
      <c r="E70" s="258"/>
      <c r="F70" s="258"/>
      <c r="G70" t="s" s="246">
        <v>242</v>
      </c>
      <c r="H70" s="247"/>
      <c r="I70" s="247"/>
      <c r="J70" s="248">
        <f>COUNTIF('Funções'!C$8:C$110,G70)</f>
        <v>0</v>
      </c>
      <c r="K70" s="249">
        <f>SUMIF('Funções'!C$8:C$110,$G70,'Funções'!N$8:N$110)</f>
        <v>0</v>
      </c>
      <c r="L70" s="261"/>
      <c r="M70" t="s" s="262">
        <f>""&amp;G70</f>
        <v>299</v>
      </c>
      <c r="N70" s="85"/>
      <c r="O70" s="86"/>
    </row>
  </sheetData>
  <mergeCells count="103">
    <mergeCell ref="L2:L3"/>
    <mergeCell ref="M2:M3"/>
    <mergeCell ref="B69:E69"/>
    <mergeCell ref="H69:I69"/>
    <mergeCell ref="B70:E70"/>
    <mergeCell ref="H70:I70"/>
    <mergeCell ref="B66:E66"/>
    <mergeCell ref="H66:I66"/>
    <mergeCell ref="B67:E67"/>
    <mergeCell ref="H67:I67"/>
    <mergeCell ref="B58:E58"/>
    <mergeCell ref="H58:I58"/>
    <mergeCell ref="B61:E61"/>
    <mergeCell ref="H61:I61"/>
    <mergeCell ref="B62:E62"/>
    <mergeCell ref="H62:I62"/>
    <mergeCell ref="B68:E68"/>
    <mergeCell ref="H68:I68"/>
    <mergeCell ref="B63:E63"/>
    <mergeCell ref="H63:I63"/>
    <mergeCell ref="B64:E64"/>
    <mergeCell ref="H64:I64"/>
    <mergeCell ref="B65:E65"/>
    <mergeCell ref="H65:I65"/>
    <mergeCell ref="B55:E55"/>
    <mergeCell ref="H55:I55"/>
    <mergeCell ref="B56:E56"/>
    <mergeCell ref="H56:I56"/>
    <mergeCell ref="B57:E57"/>
    <mergeCell ref="H57:I57"/>
    <mergeCell ref="B59:E59"/>
    <mergeCell ref="H59:I59"/>
    <mergeCell ref="B60:E60"/>
    <mergeCell ref="H60:I60"/>
    <mergeCell ref="B52:E52"/>
    <mergeCell ref="H52:I52"/>
    <mergeCell ref="B50:E50"/>
    <mergeCell ref="H50:I50"/>
    <mergeCell ref="B47:E47"/>
    <mergeCell ref="H47:I47"/>
    <mergeCell ref="B53:E53"/>
    <mergeCell ref="H53:I53"/>
    <mergeCell ref="B54:E54"/>
    <mergeCell ref="H54:I54"/>
    <mergeCell ref="B45:E45"/>
    <mergeCell ref="H45:I45"/>
    <mergeCell ref="B44:E44"/>
    <mergeCell ref="H44:I44"/>
    <mergeCell ref="B43:E43"/>
    <mergeCell ref="H43:I43"/>
    <mergeCell ref="B46:E46"/>
    <mergeCell ref="H46:I46"/>
    <mergeCell ref="B51:E51"/>
    <mergeCell ref="H51:I51"/>
    <mergeCell ref="B49:E49"/>
    <mergeCell ref="H49:I49"/>
    <mergeCell ref="B48:E48"/>
    <mergeCell ref="H48:I48"/>
    <mergeCell ref="B26:E26"/>
    <mergeCell ref="B27:E27"/>
    <mergeCell ref="B28:E28"/>
    <mergeCell ref="B29:E29"/>
    <mergeCell ref="B30:E30"/>
    <mergeCell ref="K40:K41"/>
    <mergeCell ref="B41:E41"/>
    <mergeCell ref="B42:E42"/>
    <mergeCell ref="H42:I42"/>
    <mergeCell ref="B31:E31"/>
    <mergeCell ref="B37:E37"/>
    <mergeCell ref="B38:E38"/>
    <mergeCell ref="A40:F40"/>
    <mergeCell ref="G40:G41"/>
    <mergeCell ref="H40:I41"/>
    <mergeCell ref="J40:J41"/>
    <mergeCell ref="A1:K1"/>
    <mergeCell ref="A2:F2"/>
    <mergeCell ref="G2:G3"/>
    <mergeCell ref="H2:I2"/>
    <mergeCell ref="J2:J3"/>
    <mergeCell ref="K2:K3"/>
    <mergeCell ref="B3:E3"/>
    <mergeCell ref="B10:E10"/>
    <mergeCell ref="B11:E11"/>
    <mergeCell ref="B4:E4"/>
    <mergeCell ref="B5:E5"/>
    <mergeCell ref="B6:E6"/>
    <mergeCell ref="B7:E7"/>
    <mergeCell ref="B8:E8"/>
    <mergeCell ref="B9:E9"/>
    <mergeCell ref="B21:E21"/>
    <mergeCell ref="B22:E22"/>
    <mergeCell ref="B24:E24"/>
    <mergeCell ref="B23:E23"/>
    <mergeCell ref="B25:E25"/>
    <mergeCell ref="B12:E12"/>
    <mergeCell ref="B13:E13"/>
    <mergeCell ref="B15:E15"/>
    <mergeCell ref="B16:E16"/>
    <mergeCell ref="B14:E14"/>
    <mergeCell ref="B17:E17"/>
    <mergeCell ref="B18:E18"/>
    <mergeCell ref="B19:E19"/>
    <mergeCell ref="B20:E20"/>
  </mergeCells>
  <pageMargins left="0.7875" right="0.7875" top="1.02361" bottom="1.02361" header="0.511806" footer="0.7875"/>
  <pageSetup firstPageNumber="1" fitToHeight="1" fitToWidth="1" scale="48" useFirstPageNumber="0" orientation="portrait" pageOrder="downThenOver"/>
  <headerFooter>
    <oddFooter>&amp;C&amp;"Arial,Regular"&amp;10&amp;K000000Página &amp;P de &amp;N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