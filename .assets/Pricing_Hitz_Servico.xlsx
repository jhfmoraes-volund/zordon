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Servico" sheetId="1" r:id="rId4"/>
    <sheet state="visible" name="P&amp;L" sheetId="2" r:id="rId5"/>
    <sheet state="visible" name="Proposta Comercial" sheetId="3" r:id="rId6"/>
  </sheets>
  <definedNames/>
  <calcPr/>
  <extLst>
    <ext uri="GoogleSheetsCustomDataVersion2">
      <go:sheetsCustomData xmlns:go="http://customooxmlschemas.google.com/" r:id="rId7" roundtripDataChecksum="WkNrjGiuTEaOaA2ZtxwRtyOYwmesPRuLVMuk2lrtORU="/>
    </ext>
  </extLst>
</workbook>
</file>

<file path=xl/sharedStrings.xml><?xml version="1.0" encoding="utf-8"?>
<sst xmlns="http://schemas.openxmlformats.org/spreadsheetml/2006/main" count="110" uniqueCount="104">
  <si>
    <t>PRICING - SQUAD AS A SERVICE (HITZ) - MODELO POR SERVICO</t>
  </si>
  <si>
    <t>PREMISSAS GERAIS</t>
  </si>
  <si>
    <t>Margem alvo (cota, antes do IR)</t>
  </si>
  <si>
    <t>Margem objetivo sobre o faturamento</t>
  </si>
  <si>
    <t>SG&amp;A</t>
  </si>
  <si>
    <t>Despesas administrativas/comerciais</t>
  </si>
  <si>
    <t>ISS</t>
  </si>
  <si>
    <t>Imposto sobre servicos</t>
  </si>
  <si>
    <t>PIS</t>
  </si>
  <si>
    <t>Regime cumulativo</t>
  </si>
  <si>
    <t>COFINS</t>
  </si>
  <si>
    <t>Custo financeiro (mensal)</t>
  </si>
  <si>
    <t>Capital de giro - 1 mes financiado</t>
  </si>
  <si>
    <t>IRPJ/CSLL</t>
  </si>
  <si>
    <t>Apenas para DRE (nao afeta o preco)</t>
  </si>
  <si>
    <t>Vigencia do contrato (meses)</t>
  </si>
  <si>
    <t>Minimo contratual conforme proposta</t>
  </si>
  <si>
    <t>Horas/mes por FTE</t>
  </si>
  <si>
    <t>Base para preco/hora implicito</t>
  </si>
  <si>
    <t>IA por FTE/mes (R$)</t>
  </si>
  <si>
    <t>Tokens/seats Cursor, Claude, etc.</t>
  </si>
  <si>
    <t>Software/licencas por pessoa/mes (R$)</t>
  </si>
  <si>
    <t>Ferramentas por pessoa</t>
  </si>
  <si>
    <t>Equipamento por pessoa (R$, CAPEX)</t>
  </si>
  <si>
    <t>Amortizado pela vida util</t>
  </si>
  <si>
    <t>Vida util equipamento (meses)</t>
  </si>
  <si>
    <t>Amortizacao do CAPEX</t>
  </si>
  <si>
    <t>COMPOSICAO DO TIME</t>
  </si>
  <si>
    <t>Papel</t>
  </si>
  <si>
    <t>Salario (R$)</t>
  </si>
  <si>
    <t>Alocacao</t>
  </si>
  <si>
    <t>Qtd Prop. 1</t>
  </si>
  <si>
    <t>Qtd Prop. 2</t>
  </si>
  <si>
    <t>AI Product Manager</t>
  </si>
  <si>
    <t>Product Builder Pleno</t>
  </si>
  <si>
    <t>Product Builder Junior</t>
  </si>
  <si>
    <t>Pessoas (headcount)</t>
  </si>
  <si>
    <t>FTE-equivalente</t>
  </si>
  <si>
    <t>CUSTO E PRECO POR PROPOSTA</t>
  </si>
  <si>
    <t>PROPOSTA 1 (Comercial)</t>
  </si>
  <si>
    <t>PROPOSTA 2 (Estendida)</t>
  </si>
  <si>
    <t>Custo pessoas/mes</t>
  </si>
  <si>
    <t>(+) IA / tokens</t>
  </si>
  <si>
    <t>(+) Software / licencas</t>
  </si>
  <si>
    <t>(+) Equipamento (amortizado)</t>
  </si>
  <si>
    <t>(+) Cloud / infra</t>
  </si>
  <si>
    <t>Total adicionais/mes</t>
  </si>
  <si>
    <t>CUSTO DELIVERY / MES</t>
  </si>
  <si>
    <t>Custo delivery total (vigencia)</t>
  </si>
  <si>
    <t>(+) Custo financeiro</t>
  </si>
  <si>
    <t>Custos totais</t>
  </si>
  <si>
    <t>Divisor gross-up</t>
  </si>
  <si>
    <t>Faturamento total (vigencia)</t>
  </si>
  <si>
    <t>PRECO MENSAL (FIDEDIGNO)</t>
  </si>
  <si>
    <t>Preco/hora implicito</t>
  </si>
  <si>
    <t>Markup efetivo (preco/custo)</t>
  </si>
  <si>
    <t>RESULTADO (DRE) - VIGENCIA</t>
  </si>
  <si>
    <t>Receita liquida</t>
  </si>
  <si>
    <t>(-) Custo delivery + financeiro</t>
  </si>
  <si>
    <t>(-) SG&amp;A</t>
  </si>
  <si>
    <t>LAIR (lucro antes do IR)</t>
  </si>
  <si>
    <t>(-) IRPJ/CSLL</t>
  </si>
  <si>
    <t>Lucro liquido</t>
  </si>
  <si>
    <t>% lucro s/ faturamento</t>
  </si>
  <si>
    <t>COMPARACAO vs CONTA DE PADARIA (PDF)</t>
  </si>
  <si>
    <t>Valor da proposta (padaria/PDF)</t>
  </si>
  <si>
    <t>Preco fidedigno (este modelo)</t>
  </si>
  <si>
    <t>Diferenca (R$)</t>
  </si>
  <si>
    <t>Diferenca (%)</t>
  </si>
  <si>
    <t>Celulas amarelas = inputs editaveis. Demais celulas sao formulas e recalculam no Excel/Google Sheets.</t>
  </si>
  <si>
    <t>P&amp;L - SQUAD AS A SERVICE (HITZ)</t>
  </si>
  <si>
    <t>Em R$ (total da vigencia)</t>
  </si>
  <si>
    <t>Proposta 1 (Comercial)</t>
  </si>
  <si>
    <t>Proposta 2 (Estendida)</t>
  </si>
  <si>
    <t>Faturamento (Receita Bruta)</t>
  </si>
  <si>
    <t>(-) ISS</t>
  </si>
  <si>
    <t>(-) PIS</t>
  </si>
  <si>
    <t>(-) COFINS</t>
  </si>
  <si>
    <t>Receita Liquida</t>
  </si>
  <si>
    <t>(-) Custo Delivery</t>
  </si>
  <si>
    <t>(-) Custo Financeiro</t>
  </si>
  <si>
    <t>Margem Bruta</t>
  </si>
  <si>
    <t>LAIR (Lucro Antes do IR)</t>
  </si>
  <si>
    <t>Lucro Liquido</t>
  </si>
  <si>
    <t>% Margem Liquida</t>
  </si>
  <si>
    <t>MEMO</t>
  </si>
  <si>
    <t>Preco mensal (fidedigno)</t>
  </si>
  <si>
    <t>Vigencia (meses)</t>
  </si>
  <si>
    <t>Total do contrato</t>
  </si>
  <si>
    <t>PROPOSTA COMERCIAL - SQUAD AS A SERVICE (HITZ)</t>
  </si>
  <si>
    <t>#</t>
  </si>
  <si>
    <t>Descricao</t>
  </si>
  <si>
    <t>Unidade</t>
  </si>
  <si>
    <t>Qtd (meses)</t>
  </si>
  <si>
    <t>Valor mensal (R$)</t>
  </si>
  <si>
    <t>Valor total contrato (R$)</t>
  </si>
  <si>
    <t>Squad as a Service - Comercial
1 AI Product Manager + 2 Product Builders | Seg-Sex, 09h-18h (Brasilia)</t>
  </si>
  <si>
    <t>mes</t>
  </si>
  <si>
    <t>Squad as a Service - Cobertura Estendida
1 AI Product Manager + 3 Product Builders (1 em cobertura estendida) | inclui noites, sabados e domingos</t>
  </si>
  <si>
    <t>Condicoes (conforme proposta):</t>
  </si>
  <si>
    <t>- Contratacao minima de 3 meses. Valores mensais, sem custos de setup.</t>
  </si>
  <si>
    <t>- Product Builder adicional sob demanda, mediante aviso previo de 15 dias.</t>
  </si>
  <si>
    <t>- Squad dedicado: prioriza, estima em Ponto de Funcao e entrega em ciclos continuos.</t>
  </si>
  <si>
    <t>- SLAs de sustentacao (N1/N2/N3) conforme matriz de severidade da proposta.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</si>
</sst>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 &quot;#,##0"/>
    <numFmt numFmtId="165" formatCode="&quot;R$ &quot;#,##0.00"/>
    <numFmt numFmtId="166" formatCode="[$R$ -416]#,##0.00"/>
    <numFmt numFmtId="167" formatCode="0.000\x"/>
  </numFmts>
  <fonts count="8">
    <font>
      <sz val="11.0"/>
      <color rgb="FF000000"/>
      <name val="Calibri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i/>
      <sz val="9.0"/>
      <color rgb="FF595959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4" fontId="5" numFmtId="10" xfId="0" applyAlignment="1" applyBorder="1" applyFill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4" fontId="5" numFmtId="10" xfId="0" applyAlignment="1" applyBorder="1" applyFont="1" applyNumberFormat="1">
      <alignment horizontal="right" shrinkToFit="0" vertical="center" wrapText="0"/>
    </xf>
    <xf borderId="4" fillId="4" fontId="5" numFmtId="1" xfId="0" applyAlignment="1" applyBorder="1" applyFont="1" applyNumberFormat="1">
      <alignment horizontal="right" shrinkToFit="0" vertical="center" wrapText="0"/>
    </xf>
    <xf borderId="4" fillId="4" fontId="5" numFmtId="164" xfId="0" applyAlignment="1" applyBorder="1" applyFont="1" applyNumberFormat="1">
      <alignment horizontal="right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4" fillId="4" fontId="5" numFmtId="10" xfId="0" applyAlignment="1" applyBorder="1" applyFont="1" applyNumberFormat="1">
      <alignment horizontal="center" readingOrder="0" shrinkToFit="0" vertical="center" wrapText="0"/>
    </xf>
    <xf borderId="4" fillId="4" fontId="5" numFmtId="1" xfId="0" applyAlignment="1" applyBorder="1" applyFont="1" applyNumberFormat="1">
      <alignment horizontal="center" shrinkToFit="0" vertical="center" wrapText="0"/>
    </xf>
    <xf borderId="4" fillId="4" fontId="5" numFmtId="1" xfId="0" applyAlignment="1" applyBorder="1" applyFont="1" applyNumberFormat="1">
      <alignment horizontal="center" readingOrder="0" shrinkToFit="0" vertical="center" wrapText="0"/>
    </xf>
    <xf borderId="4" fillId="4" fontId="5" numFmtId="10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1" xfId="0" applyAlignment="1" applyFont="1" applyNumberFormat="1">
      <alignment horizontal="center" shrinkToFit="0" vertical="center" wrapText="0"/>
    </xf>
    <xf borderId="0" fillId="0" fontId="5" numFmtId="2" xfId="0" applyAlignment="1" applyFont="1" applyNumberFormat="1">
      <alignment horizontal="center" shrinkToFit="0" vertical="center" wrapText="0"/>
    </xf>
    <xf borderId="4" fillId="0" fontId="4" numFmtId="165" xfId="0" applyAlignment="1" applyBorder="1" applyFont="1" applyNumberFormat="1">
      <alignment horizontal="right" shrinkToFit="0" vertical="center" wrapText="0"/>
    </xf>
    <xf borderId="4" fillId="0" fontId="4" numFmtId="2" xfId="0" applyAlignment="1" applyBorder="1" applyFont="1" applyNumberFormat="1">
      <alignment horizontal="right" shrinkToFit="0" vertical="center" wrapText="0"/>
    </xf>
    <xf borderId="4" fillId="0" fontId="4" numFmtId="1" xfId="0" applyAlignment="1" applyBorder="1" applyFont="1" applyNumberFormat="1">
      <alignment horizontal="right" shrinkToFit="0" vertical="center" wrapText="0"/>
    </xf>
    <xf borderId="4" fillId="4" fontId="4" numFmtId="165" xfId="0" applyAlignment="1" applyBorder="1" applyFont="1" applyNumberFormat="1">
      <alignment horizontal="right" shrinkToFit="0" vertical="center" wrapText="0"/>
    </xf>
    <xf borderId="4" fillId="0" fontId="5" numFmtId="0" xfId="0" applyAlignment="1" applyBorder="1" applyFont="1">
      <alignment horizontal="left" shrinkToFit="0" vertical="center" wrapText="1"/>
    </xf>
    <xf borderId="4" fillId="0" fontId="5" numFmtId="165" xfId="0" applyAlignment="1" applyBorder="1" applyFont="1" applyNumberFormat="1">
      <alignment horizontal="righ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0" fillId="0" fontId="7" numFmtId="166" xfId="0" applyAlignment="1" applyFont="1" applyNumberFormat="1">
      <alignment readingOrder="0"/>
    </xf>
    <xf borderId="0" fillId="0" fontId="7" numFmtId="166" xfId="0" applyFont="1" applyNumberFormat="1"/>
    <xf borderId="4" fillId="6" fontId="5" numFmtId="165" xfId="0" applyAlignment="1" applyBorder="1" applyFill="1" applyFont="1" applyNumberFormat="1">
      <alignment horizontal="right" shrinkToFit="0" vertical="center" wrapText="0"/>
    </xf>
    <xf borderId="4" fillId="0" fontId="4" numFmtId="167" xfId="0" applyAlignment="1" applyBorder="1" applyFont="1" applyNumberFormat="1">
      <alignment horizontal="right" shrinkToFit="0" vertical="center" wrapText="0"/>
    </xf>
    <xf borderId="4" fillId="0" fontId="4" numFmtId="10" xfId="0" applyAlignment="1" applyBorder="1" applyFont="1" applyNumberFormat="1">
      <alignment horizontal="right" shrinkToFit="0" vertical="center" wrapText="0"/>
    </xf>
    <xf borderId="4" fillId="5" fontId="5" numFmtId="0" xfId="0" applyAlignment="1" applyBorder="1" applyFont="1">
      <alignment horizontal="left" shrinkToFit="0" vertical="center" wrapText="1"/>
    </xf>
    <xf borderId="0" fillId="0" fontId="7" numFmtId="10" xfId="0" applyFont="1" applyNumberFormat="1"/>
    <xf borderId="4" fillId="0" fontId="5" numFmtId="1" xfId="0" applyAlignment="1" applyBorder="1" applyFont="1" applyNumberFormat="1">
      <alignment horizontal="right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22.0"/>
    <col customWidth="1" min="4" max="4" width="42.0"/>
    <col customWidth="1" min="5" max="5" width="14.0"/>
    <col customWidth="1" min="6" max="26" width="8.57"/>
  </cols>
  <sheetData>
    <row r="1" ht="25.5" customHeight="1">
      <c r="A1" s="1" t="s">
        <v>0</v>
      </c>
      <c r="B1" s="2"/>
      <c r="C1" s="2"/>
      <c r="D1" s="2"/>
      <c r="E1" s="3"/>
    </row>
    <row r="3" ht="15.0" customHeight="1">
      <c r="A3" s="4" t="s">
        <v>1</v>
      </c>
      <c r="B3" s="2"/>
      <c r="C3" s="2"/>
      <c r="D3" s="2"/>
      <c r="E3" s="3"/>
    </row>
    <row r="4">
      <c r="A4" s="5" t="s">
        <v>2</v>
      </c>
      <c r="B4" s="6">
        <v>0.38</v>
      </c>
      <c r="D4" s="7" t="s">
        <v>3</v>
      </c>
    </row>
    <row r="5">
      <c r="A5" s="5" t="s">
        <v>4</v>
      </c>
      <c r="B5" s="8">
        <v>0.1</v>
      </c>
      <c r="D5" s="7" t="s">
        <v>5</v>
      </c>
    </row>
    <row r="6">
      <c r="A6" s="5" t="s">
        <v>6</v>
      </c>
      <c r="B6" s="8">
        <v>0.02</v>
      </c>
      <c r="D6" s="7" t="s">
        <v>7</v>
      </c>
    </row>
    <row r="7">
      <c r="A7" s="5" t="s">
        <v>8</v>
      </c>
      <c r="B7" s="8">
        <v>0.0065</v>
      </c>
      <c r="D7" s="7" t="s">
        <v>9</v>
      </c>
    </row>
    <row r="8">
      <c r="A8" s="5" t="s">
        <v>10</v>
      </c>
      <c r="B8" s="8">
        <v>0.03</v>
      </c>
      <c r="D8" s="7" t="s">
        <v>9</v>
      </c>
    </row>
    <row r="9">
      <c r="A9" s="5" t="s">
        <v>11</v>
      </c>
      <c r="B9" s="8">
        <v>0.025</v>
      </c>
      <c r="D9" s="7" t="s">
        <v>12</v>
      </c>
    </row>
    <row r="10">
      <c r="A10" s="5" t="s">
        <v>13</v>
      </c>
      <c r="B10" s="8">
        <v>0.34</v>
      </c>
      <c r="D10" s="7" t="s">
        <v>14</v>
      </c>
    </row>
    <row r="11">
      <c r="A11" s="5" t="s">
        <v>15</v>
      </c>
      <c r="B11" s="9">
        <v>3.0</v>
      </c>
      <c r="D11" s="7" t="s">
        <v>16</v>
      </c>
    </row>
    <row r="12">
      <c r="A12" s="5" t="s">
        <v>17</v>
      </c>
      <c r="B12" s="9">
        <v>160.0</v>
      </c>
      <c r="D12" s="7" t="s">
        <v>18</v>
      </c>
    </row>
    <row r="13">
      <c r="A13" s="5" t="s">
        <v>19</v>
      </c>
      <c r="B13" s="10">
        <v>500.0</v>
      </c>
      <c r="D13" s="7" t="s">
        <v>20</v>
      </c>
    </row>
    <row r="14">
      <c r="A14" s="5" t="s">
        <v>21</v>
      </c>
      <c r="B14" s="10">
        <v>900.0</v>
      </c>
      <c r="D14" s="7" t="s">
        <v>22</v>
      </c>
    </row>
    <row r="15">
      <c r="A15" s="5" t="s">
        <v>23</v>
      </c>
      <c r="B15" s="10">
        <v>6000.0</v>
      </c>
      <c r="D15" s="7" t="s">
        <v>24</v>
      </c>
    </row>
    <row r="16">
      <c r="A16" s="5" t="s">
        <v>25</v>
      </c>
      <c r="B16" s="9">
        <v>24.0</v>
      </c>
      <c r="D16" s="7" t="s">
        <v>26</v>
      </c>
    </row>
    <row r="18" ht="15.0" customHeight="1">
      <c r="A18" s="4" t="s">
        <v>27</v>
      </c>
      <c r="B18" s="2"/>
      <c r="C18" s="2"/>
      <c r="D18" s="2"/>
      <c r="E18" s="3"/>
    </row>
    <row r="19">
      <c r="A19" s="11" t="s">
        <v>28</v>
      </c>
      <c r="B19" s="11" t="s">
        <v>29</v>
      </c>
      <c r="C19" s="11" t="s">
        <v>30</v>
      </c>
      <c r="D19" s="11" t="s">
        <v>31</v>
      </c>
      <c r="E19" s="11" t="s">
        <v>32</v>
      </c>
    </row>
    <row r="20">
      <c r="A20" s="12" t="s">
        <v>33</v>
      </c>
      <c r="B20" s="10">
        <v>18000.0</v>
      </c>
      <c r="C20" s="13">
        <v>0.5</v>
      </c>
      <c r="D20" s="14">
        <v>1.0</v>
      </c>
      <c r="E20" s="14">
        <v>1.0</v>
      </c>
    </row>
    <row r="21" ht="15.75" customHeight="1">
      <c r="A21" s="12" t="s">
        <v>34</v>
      </c>
      <c r="B21" s="10">
        <v>15000.0</v>
      </c>
      <c r="C21" s="13">
        <v>1.0</v>
      </c>
      <c r="D21" s="14">
        <v>1.0</v>
      </c>
      <c r="E21" s="15">
        <v>2.0</v>
      </c>
    </row>
    <row r="22" ht="15.75" customHeight="1">
      <c r="A22" s="12" t="s">
        <v>35</v>
      </c>
      <c r="B22" s="10">
        <v>11000.0</v>
      </c>
      <c r="C22" s="16">
        <v>1.0</v>
      </c>
      <c r="D22" s="15">
        <v>1.0</v>
      </c>
      <c r="E22" s="15">
        <v>1.0</v>
      </c>
    </row>
    <row r="23" ht="15.75" customHeight="1">
      <c r="A23" s="17" t="s">
        <v>36</v>
      </c>
      <c r="D23" s="18">
        <f t="shared" ref="D23:E23" si="1">SUM(D20:D22)</f>
        <v>3</v>
      </c>
      <c r="E23" s="18">
        <f t="shared" si="1"/>
        <v>4</v>
      </c>
    </row>
    <row r="24" ht="15.75" customHeight="1">
      <c r="A24" s="17" t="s">
        <v>37</v>
      </c>
      <c r="D24" s="19">
        <f>SUMPRODUCT(C20:C22,D20:D22)</f>
        <v>2.5</v>
      </c>
      <c r="E24" s="19">
        <f>SUMPRODUCT(C20:C22,E20:E22)</f>
        <v>3.5</v>
      </c>
    </row>
    <row r="25" ht="15.75" customHeight="1"/>
    <row r="26" ht="15.0" customHeight="1">
      <c r="A26" s="4" t="s">
        <v>38</v>
      </c>
      <c r="B26" s="2"/>
      <c r="C26" s="3"/>
    </row>
    <row r="27" ht="15.75" customHeight="1">
      <c r="B27" s="11" t="s">
        <v>39</v>
      </c>
      <c r="C27" s="11" t="s">
        <v>40</v>
      </c>
    </row>
    <row r="28" ht="15.75" customHeight="1">
      <c r="A28" s="12" t="s">
        <v>41</v>
      </c>
      <c r="B28" s="20">
        <f>SUMPRODUCT($B$20:$B$22,$C$20:$C$22,$D$20:$D$22)</f>
        <v>35000</v>
      </c>
      <c r="C28" s="20">
        <f>SUMPRODUCT($B$20:$B$22,$C$20:$C$22,$E$20:$E$22)</f>
        <v>50000</v>
      </c>
    </row>
    <row r="29" ht="15.75" customHeight="1">
      <c r="A29" s="12" t="s">
        <v>37</v>
      </c>
      <c r="B29" s="21">
        <f>$D$24</f>
        <v>2.5</v>
      </c>
      <c r="C29" s="21">
        <f>$E$24</f>
        <v>3.5</v>
      </c>
    </row>
    <row r="30" ht="15.75" customHeight="1">
      <c r="A30" s="12" t="s">
        <v>36</v>
      </c>
      <c r="B30" s="22">
        <f>$D$23</f>
        <v>3</v>
      </c>
      <c r="C30" s="22">
        <f>$E$23</f>
        <v>4</v>
      </c>
    </row>
    <row r="31" ht="15.75" customHeight="1">
      <c r="A31" s="12" t="s">
        <v>42</v>
      </c>
      <c r="B31" s="20">
        <f t="shared" ref="B31:C31" si="2">B29*$B$13</f>
        <v>1250</v>
      </c>
      <c r="C31" s="20">
        <f t="shared" si="2"/>
        <v>1750</v>
      </c>
    </row>
    <row r="32" ht="15.75" customHeight="1">
      <c r="A32" s="12" t="s">
        <v>43</v>
      </c>
      <c r="B32" s="20">
        <f t="shared" ref="B32:C32" si="3">B30*$B$14</f>
        <v>2700</v>
      </c>
      <c r="C32" s="20">
        <f t="shared" si="3"/>
        <v>3600</v>
      </c>
    </row>
    <row r="33" ht="15.75" customHeight="1">
      <c r="A33" s="12" t="s">
        <v>44</v>
      </c>
      <c r="B33" s="20">
        <f t="shared" ref="B33:C33" si="4">B30*$B$15/$B$16</f>
        <v>750</v>
      </c>
      <c r="C33" s="20">
        <f t="shared" si="4"/>
        <v>1000</v>
      </c>
    </row>
    <row r="34" ht="15.75" customHeight="1">
      <c r="A34" s="12" t="s">
        <v>45</v>
      </c>
      <c r="B34" s="23">
        <v>0.0</v>
      </c>
      <c r="C34" s="23">
        <v>0.0</v>
      </c>
    </row>
    <row r="35" ht="15.75" customHeight="1">
      <c r="A35" s="24" t="s">
        <v>46</v>
      </c>
      <c r="B35" s="25">
        <f t="shared" ref="B35:C35" si="5">SUM(B31:B34)</f>
        <v>4700</v>
      </c>
      <c r="C35" s="25">
        <f t="shared" si="5"/>
        <v>6350</v>
      </c>
    </row>
    <row r="36" ht="15.75" customHeight="1">
      <c r="A36" s="24" t="s">
        <v>47</v>
      </c>
      <c r="B36" s="26">
        <f t="shared" ref="B36:C36" si="6">B28+B35</f>
        <v>39700</v>
      </c>
      <c r="C36" s="26">
        <f t="shared" si="6"/>
        <v>56350</v>
      </c>
    </row>
    <row r="37" ht="15.75" customHeight="1"/>
    <row r="38" ht="15.75" customHeight="1">
      <c r="A38" s="12" t="s">
        <v>48</v>
      </c>
      <c r="B38" s="20">
        <f t="shared" ref="B38:C38" si="7">B36*$B$11</f>
        <v>119100</v>
      </c>
      <c r="C38" s="20">
        <f t="shared" si="7"/>
        <v>169050</v>
      </c>
      <c r="D38" s="27"/>
      <c r="E38" s="28"/>
    </row>
    <row r="39" ht="15.75" customHeight="1">
      <c r="A39" s="12" t="s">
        <v>49</v>
      </c>
      <c r="B39" s="20">
        <f t="shared" ref="B39:C39" si="8">B36*$B$9</f>
        <v>992.5</v>
      </c>
      <c r="C39" s="20">
        <f t="shared" si="8"/>
        <v>1408.75</v>
      </c>
    </row>
    <row r="40" ht="15.75" customHeight="1">
      <c r="A40" s="12" t="s">
        <v>50</v>
      </c>
      <c r="B40" s="20">
        <f t="shared" ref="B40:C40" si="9">B38+B39</f>
        <v>120092.5</v>
      </c>
      <c r="C40" s="20">
        <f t="shared" si="9"/>
        <v>170458.75</v>
      </c>
    </row>
    <row r="41" ht="15.75" customHeight="1">
      <c r="A41" s="12" t="s">
        <v>51</v>
      </c>
      <c r="B41" s="21">
        <f t="shared" ref="B41:C41" si="10">1-$B$6-$B$7-$B$8-$B$5-$B$4</f>
        <v>0.4635</v>
      </c>
      <c r="C41" s="21">
        <f t="shared" si="10"/>
        <v>0.4635</v>
      </c>
    </row>
    <row r="42" ht="15.75" customHeight="1">
      <c r="A42" s="24" t="s">
        <v>52</v>
      </c>
      <c r="B42" s="25">
        <f t="shared" ref="B42:C42" si="11">B40/B41</f>
        <v>259099.2449</v>
      </c>
      <c r="C42" s="25">
        <f t="shared" si="11"/>
        <v>367764.2934</v>
      </c>
    </row>
    <row r="43" ht="19.5" customHeight="1">
      <c r="A43" s="24" t="s">
        <v>53</v>
      </c>
      <c r="B43" s="29">
        <f t="shared" ref="B43:C43" si="12">B42/$B$11</f>
        <v>86366.41496</v>
      </c>
      <c r="C43" s="29">
        <f t="shared" si="12"/>
        <v>122588.0978</v>
      </c>
    </row>
    <row r="44" ht="15.75" customHeight="1">
      <c r="A44" s="12" t="s">
        <v>54</v>
      </c>
      <c r="B44" s="20">
        <f t="shared" ref="B44:C44" si="13">B43/(B29*$B$12)</f>
        <v>215.9160374</v>
      </c>
      <c r="C44" s="20">
        <f t="shared" si="13"/>
        <v>218.9073175</v>
      </c>
    </row>
    <row r="45" ht="15.75" customHeight="1">
      <c r="A45" s="12" t="s">
        <v>55</v>
      </c>
      <c r="B45" s="30">
        <f t="shared" ref="B45:C45" si="14">B43/B36</f>
        <v>2.175476447</v>
      </c>
      <c r="C45" s="30">
        <f t="shared" si="14"/>
        <v>2.175476447</v>
      </c>
    </row>
    <row r="46" ht="15.75" customHeight="1"/>
    <row r="47" ht="15.0" customHeight="1">
      <c r="A47" s="4" t="s">
        <v>56</v>
      </c>
      <c r="B47" s="2"/>
      <c r="C47" s="3"/>
    </row>
    <row r="48" ht="15.75" customHeight="1">
      <c r="A48" s="12" t="s">
        <v>57</v>
      </c>
      <c r="B48" s="20">
        <f t="shared" ref="B48:C48" si="15">B42*(1-$B$6-$B$7-$B$8)</f>
        <v>244460.1375</v>
      </c>
      <c r="C48" s="20">
        <f t="shared" si="15"/>
        <v>346985.6108</v>
      </c>
    </row>
    <row r="49" ht="15.75" customHeight="1">
      <c r="A49" s="12" t="s">
        <v>58</v>
      </c>
      <c r="B49" s="20">
        <f t="shared" ref="B49:C49" si="16">-(B38+B39)</f>
        <v>-120092.5</v>
      </c>
      <c r="C49" s="20">
        <f t="shared" si="16"/>
        <v>-170458.75</v>
      </c>
    </row>
    <row r="50" ht="15.75" customHeight="1">
      <c r="A50" s="12" t="s">
        <v>59</v>
      </c>
      <c r="B50" s="20">
        <f t="shared" ref="B50:C50" si="17">-$B$5*B42</f>
        <v>-25909.92449</v>
      </c>
      <c r="C50" s="20">
        <f t="shared" si="17"/>
        <v>-36776.42934</v>
      </c>
    </row>
    <row r="51" ht="15.75" customHeight="1">
      <c r="A51" s="24" t="s">
        <v>60</v>
      </c>
      <c r="B51" s="25">
        <f t="shared" ref="B51:C51" si="18">B48+B49+B50</f>
        <v>98457.71305</v>
      </c>
      <c r="C51" s="25">
        <f t="shared" si="18"/>
        <v>139750.4315</v>
      </c>
    </row>
    <row r="52" ht="15.75" customHeight="1">
      <c r="A52" s="12" t="s">
        <v>61</v>
      </c>
      <c r="B52" s="20">
        <f t="shared" ref="B52:C52" si="19">IF(B51&gt;0,-B51*$B$10,0)</f>
        <v>-33475.62244</v>
      </c>
      <c r="C52" s="20">
        <f t="shared" si="19"/>
        <v>-47515.14671</v>
      </c>
    </row>
    <row r="53" ht="15.75" customHeight="1">
      <c r="A53" s="24" t="s">
        <v>62</v>
      </c>
      <c r="B53" s="25">
        <f t="shared" ref="B53:C53" si="20">B51+B52</f>
        <v>64982.09061</v>
      </c>
      <c r="C53" s="25">
        <f t="shared" si="20"/>
        <v>92235.28479</v>
      </c>
    </row>
    <row r="54" ht="15.75" customHeight="1">
      <c r="A54" s="12" t="s">
        <v>63</v>
      </c>
      <c r="B54" s="31">
        <f t="shared" ref="B54:C54" si="21">B53/B42</f>
        <v>0.2508</v>
      </c>
      <c r="C54" s="31">
        <f t="shared" si="21"/>
        <v>0.2508</v>
      </c>
    </row>
    <row r="55" ht="15.75" customHeight="1"/>
    <row r="56" ht="15.0" customHeight="1">
      <c r="A56" s="4" t="s">
        <v>64</v>
      </c>
      <c r="B56" s="2"/>
      <c r="C56" s="3"/>
    </row>
    <row r="57" ht="15.75" customHeight="1">
      <c r="A57" s="12" t="s">
        <v>65</v>
      </c>
      <c r="B57" s="23">
        <v>97840.0</v>
      </c>
      <c r="C57" s="23">
        <v>118420.0</v>
      </c>
    </row>
    <row r="58" ht="15.75" customHeight="1">
      <c r="A58" s="12" t="s">
        <v>66</v>
      </c>
      <c r="B58" s="20">
        <f t="shared" ref="B58:C58" si="22">B43</f>
        <v>86366.41496</v>
      </c>
      <c r="C58" s="20">
        <f t="shared" si="22"/>
        <v>122588.0978</v>
      </c>
    </row>
    <row r="59" ht="15.75" customHeight="1">
      <c r="A59" s="12" t="s">
        <v>67</v>
      </c>
      <c r="B59" s="20">
        <f t="shared" ref="B59:C59" si="23">B58-B57</f>
        <v>-11473.58504</v>
      </c>
      <c r="C59" s="20">
        <f t="shared" si="23"/>
        <v>4168.097807</v>
      </c>
    </row>
    <row r="60" ht="15.75" customHeight="1">
      <c r="A60" s="12" t="s">
        <v>68</v>
      </c>
      <c r="B60" s="31">
        <f t="shared" ref="B60:C60" si="24">B59/B57</f>
        <v>-0.1172688577</v>
      </c>
      <c r="C60" s="31">
        <f t="shared" si="24"/>
        <v>0.03519758323</v>
      </c>
    </row>
    <row r="61" ht="15.75" customHeight="1"/>
    <row r="62" ht="15.75" customHeight="1">
      <c r="A62" s="7" t="s">
        <v>69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18:E18"/>
    <mergeCell ref="A26:C26"/>
    <mergeCell ref="A47:C47"/>
    <mergeCell ref="A56:C5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20.0"/>
    <col customWidth="1" min="4" max="26" width="8.57"/>
  </cols>
  <sheetData>
    <row r="1" ht="25.5" customHeight="1">
      <c r="A1" s="1" t="s">
        <v>70</v>
      </c>
      <c r="B1" s="2"/>
      <c r="C1" s="3"/>
    </row>
    <row r="3">
      <c r="A3" s="32" t="s">
        <v>71</v>
      </c>
      <c r="B3" s="11" t="s">
        <v>72</v>
      </c>
      <c r="C3" s="11" t="s">
        <v>73</v>
      </c>
    </row>
    <row r="4">
      <c r="A4" s="24" t="s">
        <v>74</v>
      </c>
      <c r="B4" s="25">
        <f>'Resumo Servico'!B42</f>
        <v>259099.2449</v>
      </c>
      <c r="C4" s="25">
        <f>'Resumo Servico'!C42</f>
        <v>367764.2934</v>
      </c>
    </row>
    <row r="5">
      <c r="A5" s="12" t="s">
        <v>75</v>
      </c>
      <c r="B5" s="20">
        <f>-B4*'Resumo Servico'!$B$6</f>
        <v>-5181.984898</v>
      </c>
      <c r="C5" s="20">
        <f>-C4*'Resumo Servico'!$B$6</f>
        <v>-7355.285868</v>
      </c>
    </row>
    <row r="6">
      <c r="A6" s="12" t="s">
        <v>76</v>
      </c>
      <c r="B6" s="20">
        <f>-B4*'Resumo Servico'!$B$7</f>
        <v>-1684.145092</v>
      </c>
      <c r="C6" s="20">
        <f>-C4*'Resumo Servico'!$B$7</f>
        <v>-2390.467907</v>
      </c>
    </row>
    <row r="7">
      <c r="A7" s="12" t="s">
        <v>77</v>
      </c>
      <c r="B7" s="20">
        <f>-B4*'Resumo Servico'!$B$8</f>
        <v>-7772.977346</v>
      </c>
      <c r="C7" s="20">
        <f>-C4*'Resumo Servico'!$B$8</f>
        <v>-11032.9288</v>
      </c>
    </row>
    <row r="8">
      <c r="A8" s="24" t="s">
        <v>78</v>
      </c>
      <c r="B8" s="25">
        <f t="shared" ref="B8:C8" si="1">B4+B5+B6+B7</f>
        <v>244460.1375</v>
      </c>
      <c r="C8" s="25">
        <f t="shared" si="1"/>
        <v>346985.6108</v>
      </c>
    </row>
    <row r="9">
      <c r="A9" s="12" t="s">
        <v>79</v>
      </c>
      <c r="B9" s="20">
        <f>-'Resumo Servico'!B38</f>
        <v>-119100</v>
      </c>
      <c r="C9" s="20">
        <f>-'Resumo Servico'!C38</f>
        <v>-169050</v>
      </c>
    </row>
    <row r="10">
      <c r="A10" s="12" t="s">
        <v>80</v>
      </c>
      <c r="B10" s="20">
        <f>-'Resumo Servico'!B39</f>
        <v>-992.5</v>
      </c>
      <c r="C10" s="20">
        <f>-'Resumo Servico'!C39</f>
        <v>-1408.75</v>
      </c>
    </row>
    <row r="11">
      <c r="A11" s="24" t="s">
        <v>81</v>
      </c>
      <c r="B11" s="25">
        <f t="shared" ref="B11:C11" si="2">B8+B9+B10</f>
        <v>124367.6375</v>
      </c>
      <c r="C11" s="25">
        <f t="shared" si="2"/>
        <v>176526.8608</v>
      </c>
      <c r="E11" s="33"/>
    </row>
    <row r="12">
      <c r="A12" s="12" t="s">
        <v>59</v>
      </c>
      <c r="B12" s="20">
        <f>-'Resumo Servico'!$B$5*B4</f>
        <v>-25909.92449</v>
      </c>
      <c r="C12" s="20">
        <f>-'Resumo Servico'!$B$5*C4</f>
        <v>-36776.42934</v>
      </c>
    </row>
    <row r="13">
      <c r="A13" s="24" t="s">
        <v>82</v>
      </c>
      <c r="B13" s="25">
        <f t="shared" ref="B13:C13" si="3">B11+B12</f>
        <v>98457.71305</v>
      </c>
      <c r="C13" s="25">
        <f t="shared" si="3"/>
        <v>139750.4315</v>
      </c>
    </row>
    <row r="14">
      <c r="A14" s="12" t="s">
        <v>61</v>
      </c>
      <c r="B14" s="20">
        <f>IF(B13&gt;0,-B13*'Resumo Servico'!$B$10,0)</f>
        <v>-33475.62244</v>
      </c>
      <c r="C14" s="20">
        <f>IF(C13&gt;0,-C13*'Resumo Servico'!$B$10,0)</f>
        <v>-47515.14671</v>
      </c>
    </row>
    <row r="15">
      <c r="A15" s="24" t="s">
        <v>83</v>
      </c>
      <c r="B15" s="25">
        <f t="shared" ref="B15:C15" si="4">B13+B14</f>
        <v>64982.09061</v>
      </c>
      <c r="C15" s="25">
        <f t="shared" si="4"/>
        <v>92235.28479</v>
      </c>
    </row>
    <row r="16">
      <c r="A16" s="12" t="s">
        <v>84</v>
      </c>
      <c r="B16" s="31">
        <f t="shared" ref="B16:C16" si="5">B15/B4</f>
        <v>0.2508</v>
      </c>
      <c r="C16" s="31">
        <f t="shared" si="5"/>
        <v>0.2508</v>
      </c>
    </row>
    <row r="18" ht="15.0" customHeight="1">
      <c r="A18" s="4" t="s">
        <v>85</v>
      </c>
      <c r="B18" s="2"/>
      <c r="C18" s="3"/>
    </row>
    <row r="19">
      <c r="A19" s="12" t="s">
        <v>86</v>
      </c>
      <c r="B19" s="25">
        <f>'Resumo Servico'!B43</f>
        <v>86366.41496</v>
      </c>
      <c r="C19" s="25">
        <f>'Resumo Servico'!C43</f>
        <v>122588.0978</v>
      </c>
    </row>
    <row r="20">
      <c r="A20" s="12" t="s">
        <v>87</v>
      </c>
      <c r="B20" s="34">
        <f>'Resumo Servico'!$B$11</f>
        <v>3</v>
      </c>
      <c r="C20" s="34">
        <f>'Resumo Servico'!$B$11</f>
        <v>3</v>
      </c>
    </row>
    <row r="21" ht="15.75" customHeight="1">
      <c r="A21" s="12" t="s">
        <v>88</v>
      </c>
      <c r="B21" s="25">
        <f t="shared" ref="B21:C21" si="6">B4</f>
        <v>259099.2449</v>
      </c>
      <c r="C21" s="25">
        <f t="shared" si="6"/>
        <v>367764.2934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8:C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6.0"/>
    <col customWidth="1" min="3" max="4" width="12.0"/>
    <col customWidth="1" min="5" max="5" width="18.0"/>
    <col customWidth="1" min="6" max="6" width="22.0"/>
    <col customWidth="1" min="7" max="26" width="8.57"/>
  </cols>
  <sheetData>
    <row r="1" ht="25.5" customHeight="1">
      <c r="A1" s="1" t="s">
        <v>89</v>
      </c>
      <c r="B1" s="2"/>
      <c r="C1" s="2"/>
      <c r="D1" s="2"/>
      <c r="E1" s="2"/>
      <c r="F1" s="3"/>
    </row>
    <row r="3" ht="30.0" customHeight="1">
      <c r="A3" s="11" t="s">
        <v>90</v>
      </c>
      <c r="B3" s="11" t="s">
        <v>91</v>
      </c>
      <c r="C3" s="11" t="s">
        <v>92</v>
      </c>
      <c r="D3" s="11" t="s">
        <v>93</v>
      </c>
      <c r="E3" s="11" t="s">
        <v>94</v>
      </c>
      <c r="F3" s="11" t="s">
        <v>95</v>
      </c>
    </row>
    <row r="4" ht="43.5" customHeight="1">
      <c r="A4" s="35">
        <v>1.0</v>
      </c>
      <c r="B4" s="12" t="s">
        <v>96</v>
      </c>
      <c r="C4" s="35" t="s">
        <v>97</v>
      </c>
      <c r="D4" s="36">
        <f>'Resumo Servico'!$B$11</f>
        <v>3</v>
      </c>
      <c r="E4" s="25">
        <f>'Resumo Servico'!B43</f>
        <v>86366.41496</v>
      </c>
      <c r="F4" s="25">
        <f t="shared" ref="F4:F5" si="1">D4*E4</f>
        <v>259099.2449</v>
      </c>
    </row>
    <row r="5" ht="43.5" customHeight="1">
      <c r="A5" s="35">
        <v>2.0</v>
      </c>
      <c r="B5" s="12" t="s">
        <v>98</v>
      </c>
      <c r="C5" s="35" t="s">
        <v>97</v>
      </c>
      <c r="D5" s="36">
        <f>'Resumo Servico'!$B$11</f>
        <v>3</v>
      </c>
      <c r="E5" s="25">
        <f>'Resumo Servico'!C43</f>
        <v>122588.0978</v>
      </c>
      <c r="F5" s="25">
        <f t="shared" si="1"/>
        <v>367764.2934</v>
      </c>
    </row>
    <row r="7" ht="15.0" customHeight="1">
      <c r="A7" s="17" t="s">
        <v>99</v>
      </c>
    </row>
    <row r="8" ht="15.0" customHeight="1">
      <c r="A8" s="7" t="s">
        <v>100</v>
      </c>
    </row>
    <row r="9" ht="15.0" customHeight="1">
      <c r="A9" s="7" t="s">
        <v>101</v>
      </c>
    </row>
    <row r="10" ht="15.0" customHeight="1">
      <c r="A10" s="7" t="s">
        <v>102</v>
      </c>
    </row>
    <row r="11" ht="15.0" customHeight="1">
      <c r="A11" s="7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7:F7"/>
    <mergeCell ref="A8:F8"/>
    <mergeCell ref="A9:F9"/>
    <mergeCell ref="A10:F10"/>
    <mergeCell ref="A11:F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2026-06-10T15:31:06Z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